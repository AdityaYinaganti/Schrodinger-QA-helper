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D Biologics" sheetId="1" r:id="rId5"/>
    <sheet state="visible" name="2026-1 Record" sheetId="2" r:id="rId6"/>
    <sheet state="visible" name="2025-3 Record" sheetId="3" r:id="rId7"/>
    <sheet state="visible" name="2025-2 Record" sheetId="4" r:id="rId8"/>
    <sheet state="visible" name="2025-1 Record" sheetId="5" r:id="rId9"/>
    <sheet state="visible" name="2024-4 Record" sheetId="6" r:id="rId10"/>
    <sheet state="visible" name="2024-3 Record" sheetId="7" r:id="rId11"/>
    <sheet state="visible" name="2024-2 Record" sheetId="8" r:id="rId12"/>
    <sheet state="visible" name="2024-1 Record" sheetId="9" r:id="rId13"/>
    <sheet state="visible" name="23-4 Record" sheetId="10" r:id="rId14"/>
  </sheets>
  <definedNames/>
  <calcPr/>
</workbook>
</file>

<file path=xl/sharedStrings.xml><?xml version="1.0" encoding="utf-8"?>
<sst xmlns="http://schemas.openxmlformats.org/spreadsheetml/2006/main" count="2383" uniqueCount="449">
  <si>
    <t>Blocker/Critical</t>
  </si>
  <si>
    <t>LD 2026-1 Pass 3 (StartDate: 27/Jan/2025) Build(#)</t>
  </si>
  <si>
    <t>LD 2026-1 Pass 2 (StartDate: 5/Jan/2025) Build(#)</t>
  </si>
  <si>
    <t>LD 2026-1 Pass 1 (StartDate: 1/Dec/2025) Build(#)</t>
  </si>
  <si>
    <t>Major</t>
  </si>
  <si>
    <t>MS Edge</t>
  </si>
  <si>
    <t>FireFox</t>
  </si>
  <si>
    <t>Chrome</t>
  </si>
  <si>
    <t>Testers</t>
  </si>
  <si>
    <t>Minor,Cosmetic</t>
  </si>
  <si>
    <t>Incomplete</t>
  </si>
  <si>
    <t>Some problems</t>
  </si>
  <si>
    <t>In Progress</t>
  </si>
  <si>
    <t>Not Tested</t>
  </si>
  <si>
    <t>Aditya</t>
  </si>
  <si>
    <t>Feature</t>
  </si>
  <si>
    <t>SubFeature</t>
  </si>
  <si>
    <t>Test Case(s)</t>
  </si>
  <si>
    <t>Selenium Test(s)</t>
  </si>
  <si>
    <t>API Test(s)</t>
  </si>
  <si>
    <t>Notes</t>
  </si>
  <si>
    <t>Simple RNA with multicharacter monomer</t>
  </si>
  <si>
    <t>test_import_biologics_helm</t>
  </si>
  <si>
    <t>AUTO_PASS</t>
  </si>
  <si>
    <t>OK</t>
  </si>
  <si>
    <t>Searches</t>
  </si>
  <si>
    <t>Search via ID</t>
  </si>
  <si>
    <t>Image_gen Testing</t>
  </si>
  <si>
    <t>Search via Sequence (FASTA and HELM format)PEPTIDE1{R.D.F.I.Q.C.C}$$$$</t>
  </si>
  <si>
    <t>test_import_biologics_and_search</t>
  </si>
  <si>
    <t>SS-42556</t>
  </si>
  <si>
    <t>Advanced Search: Search via Subsequence</t>
  </si>
  <si>
    <t>Import</t>
  </si>
  <si>
    <t>Check the images in LR via CSV file import</t>
  </si>
  <si>
    <t>Test_data</t>
  </si>
  <si>
    <t>Check the images in LR HELM file import</t>
  </si>
  <si>
    <r>
      <rPr>
        <color rgb="FF1155CC"/>
        <u/>
      </rPr>
      <t>Stock_image doc</t>
    </r>
    <r>
      <rPr/>
      <t xml:space="preserve">, </t>
    </r>
    <r>
      <rPr>
        <color rgb="FF1155CC"/>
        <u/>
      </rPr>
      <t>SHARED-9778</t>
    </r>
  </si>
  <si>
    <t>Import non-bio files only when ALLOW_ALL_FILE_TYPES_FOR_BIO_IMPORT is true</t>
  </si>
  <si>
    <t>Check the images in LR via FASTA file import</t>
  </si>
  <si>
    <t>Import of Bio-experiment files</t>
  </si>
  <si>
    <t>SS-43770</t>
  </si>
  <si>
    <t>Export</t>
  </si>
  <si>
    <t>Images in Export via different formats (pdf, pptx ...etc)</t>
  </si>
  <si>
    <t>Download button in Spreadsheet, Tile view, Landing page downloads the entity</t>
  </si>
  <si>
    <t>LDIMPORT-771</t>
  </si>
  <si>
    <t>Filter</t>
  </si>
  <si>
    <t>Images of Bio-entities before and after Filter's application</t>
  </si>
  <si>
    <t>test_filter_biologics_helm</t>
  </si>
  <si>
    <t>SS-43383</t>
  </si>
  <si>
    <t>In different LR formats</t>
  </si>
  <si>
    <t xml:space="preserve">Spreadsheet view </t>
  </si>
  <si>
    <t xml:space="preserve">In "Text" mode under entity column in Spreadsheet view </t>
  </si>
  <si>
    <t>SS-43089</t>
  </si>
  <si>
    <t>Tiles view</t>
  </si>
  <si>
    <t>Forms view</t>
  </si>
  <si>
    <t>Images when:</t>
  </si>
  <si>
    <t xml:space="preserve">An LR is duplicated within same project </t>
  </si>
  <si>
    <t>An LR is copied to a different project</t>
  </si>
  <si>
    <t>Zoom-in button in button tray to zoom the image</t>
  </si>
  <si>
    <t>Zoom-out button in the button tray when the image is already zoomed-in</t>
  </si>
  <si>
    <t>Composite-rows</t>
  </si>
  <si>
    <t>Images of Parent entity</t>
  </si>
  <si>
    <t>Images of linked children and grandchildren</t>
  </si>
  <si>
    <t>Plots</t>
  </si>
  <si>
    <t>Images in different plots</t>
  </si>
  <si>
    <t>SS-43402</t>
  </si>
  <si>
    <t>Entity Relationship</t>
  </si>
  <si>
    <t>Grid</t>
  </si>
  <si>
    <t>Biologics having multi chain/multi entities show compositerow relationship</t>
  </si>
  <si>
    <t>test_biologics_relationship</t>
  </si>
  <si>
    <t>Expand/Collapse rows with chevron button (^) for Biologics parent</t>
  </si>
  <si>
    <t>Child entities alone can't be hidden, frozen or removed</t>
  </si>
  <si>
    <t>Monomer DB</t>
  </si>
  <si>
    <t>Set custom_monomer_db flag in bbchem helm config to true</t>
  </si>
  <si>
    <t>N/A</t>
  </si>
  <si>
    <t>How to guide</t>
  </si>
  <si>
    <t>Prepare a monomer database file in JSON</t>
  </si>
  <si>
    <t>Import non-natural monomers in bbchem configmap</t>
  </si>
  <si>
    <t>Use newly created configmap by bbchem</t>
  </si>
  <si>
    <t>Check new non-natural monomers are showing names in API request from seq viewer</t>
  </si>
  <si>
    <t>Percentage Complete</t>
  </si>
  <si>
    <t>Firefox</t>
  </si>
  <si>
    <t>PASS</t>
  </si>
  <si>
    <t>FAIL</t>
  </si>
  <si>
    <t>NOT TESTED</t>
  </si>
  <si>
    <t>BLANK</t>
  </si>
  <si>
    <t>Color Keys</t>
  </si>
  <si>
    <t>Statuses</t>
  </si>
  <si>
    <t>Anu</t>
  </si>
  <si>
    <t>Amrita</t>
  </si>
  <si>
    <t>Hannah</t>
  </si>
  <si>
    <t>NA</t>
  </si>
  <si>
    <t>Ivy</t>
  </si>
  <si>
    <t>Prachi</t>
  </si>
  <si>
    <t>Broken</t>
  </si>
  <si>
    <t>Naga Lakshmi</t>
  </si>
  <si>
    <t>Nitin</t>
  </si>
  <si>
    <t>All OK</t>
  </si>
  <si>
    <t>Pankhuri</t>
  </si>
  <si>
    <t>Ramakrishna</t>
  </si>
  <si>
    <t>Not Tested Final</t>
  </si>
  <si>
    <t>Rupal</t>
  </si>
  <si>
    <t>Saheli</t>
  </si>
  <si>
    <t>Soumya</t>
  </si>
  <si>
    <t>Abdul</t>
  </si>
  <si>
    <t>Utkarsh</t>
  </si>
  <si>
    <t>Vishnu</t>
  </si>
  <si>
    <t>LD 2025-4 Pass 2 (StartDate: 23/Oct/2025) Build(#)</t>
  </si>
  <si>
    <t>MS Edge Status</t>
  </si>
  <si>
    <t>FireFox Status</t>
  </si>
  <si>
    <t>Chrome Status</t>
  </si>
  <si>
    <t>LD 2025-4 Pass 1 (StartDate: 22/Sep/2025) Build(#)</t>
  </si>
  <si>
    <t>In Progress (26%)</t>
  </si>
  <si>
    <t xml:space="preserve">LDIMPORT-1088: Biologics Import: RNA with multicharacter monomer is not getting imported.  </t>
  </si>
  <si>
    <t>Stock_image doc, SHARED-9778</t>
  </si>
  <si>
    <t>LDIMPORT-1089: Biologics Import: Entities getting imported through CSVs are not getting downloaded properly.</t>
  </si>
  <si>
    <t>Total Cases = 31</t>
  </si>
  <si>
    <t>LD 2025-4 Pass 2 (StartDate: 23/Oct/2025)</t>
  </si>
  <si>
    <t>LD 2025-3 Pass 2 (StartDate: 21/Jul/2025) Build(#)</t>
  </si>
  <si>
    <t>LD 2025-3 Pass 1 (StartDate: 17/Jun/2025) Build(#)</t>
  </si>
  <si>
    <t>Some problems (%)</t>
  </si>
  <si>
    <t>LDIMPORT-874</t>
  </si>
  <si>
    <t>LD 2025-3 Pass 2 (StartDate: 21/Jul/2025)</t>
  </si>
  <si>
    <t>LD 2025-2 Pass 2 (StartDate: 24/Apr/2025) Build(#)</t>
  </si>
  <si>
    <t>LD 2025-2 Pass 1 (StartDate: 24/Mar/2025) Build(#)</t>
  </si>
  <si>
    <t>Image Generation</t>
  </si>
  <si>
    <t>LDGRID-729</t>
  </si>
  <si>
    <t>Total Cases = 28</t>
  </si>
  <si>
    <t>LD 2025-2 Pass 2 (StartDate: 24/Apr/2025)</t>
  </si>
  <si>
    <t>LD 2025-1 Pass 2 (StartDate: 03/Feb/2025) Build(#)</t>
  </si>
  <si>
    <t>LD 2025-1 Pass 1 (StartDate: 15/Jan/2025) Build(#)</t>
  </si>
  <si>
    <t>LDSEARCH-409: Biologics Search: Some of the fasta sequences are giving results for the search while some are not.</t>
  </si>
  <si>
    <t>LDIMPORT-504: Biologics Image Generation: The image for the small sequence of peptides have their boxes cut on extremes.</t>
  </si>
  <si>
    <t>Import of the non-biologics files should be allowed</t>
  </si>
  <si>
    <t>LDIMPORT-503: Biologics Import: When importing a .mae file through the biologics pipeline, both 2D and 3D structures appear.</t>
  </si>
  <si>
    <t>LDIMPORT-494: Biologics export: When exporting a Biologics as a PPT, the sequence is shown in the PPT instead of an image.</t>
  </si>
  <si>
    <t>popout button in Spreadsheet/ Tile view should download the entity</t>
  </si>
  <si>
    <t>LDIMPORT-497: Biologics Import: 'Show as Text' for PDB files import through Biologics pipelines is not showing up properly.</t>
  </si>
  <si>
    <t>LDGRID-689: Forms Widget: PDB files are not showing up any images in the Forms View.</t>
  </si>
  <si>
    <t xml:space="preserve">a LR is duplicated within same project </t>
  </si>
  <si>
    <t>a LR is copied to a different project</t>
  </si>
  <si>
    <t>Hovering over Bio-entity under entity column should zoom out the image (in every LR format)</t>
  </si>
  <si>
    <t>Images of linked child and gran-child entities</t>
  </si>
  <si>
    <t>Total Cases = 27</t>
  </si>
  <si>
    <t>LD 2025-1 Pass 2 (StartDate: 03/Feb/2025)</t>
  </si>
  <si>
    <t>LD 2024-4 Pass 2 (StartDate: 22/Oct/2024) Build(#)</t>
  </si>
  <si>
    <t>LD 2024-4 Pass 1 (StartDate: 16/Sept/2024) Build(#)</t>
  </si>
  <si>
    <t>In Progress (%)</t>
  </si>
  <si>
    <t>NOT OK</t>
  </si>
  <si>
    <t>LDSEARCH-225</t>
  </si>
  <si>
    <t>LDADMIN-172</t>
  </si>
  <si>
    <t>LDADMIN-176</t>
  </si>
  <si>
    <t>LDIMPORT-101</t>
  </si>
  <si>
    <t>LDGRID-529</t>
  </si>
  <si>
    <t>Total Cases = 26</t>
  </si>
  <si>
    <t>LD 2024-4 Pass 2 (StartDate: 22/Oct/2024)</t>
  </si>
  <si>
    <t>LD 2024-3 Pass 3 (StartDate: 29/July/2024) Build(#)</t>
  </si>
  <si>
    <t>LD 2024-3 Pass 2 (StartDate: 09/July/2024) Build(#)</t>
  </si>
  <si>
    <t>LD 2024-3 Pass 1 (StartDate: 18/Jun/2024) Build(#)</t>
  </si>
  <si>
    <t>All OK (%)</t>
  </si>
  <si>
    <t>Search via Sequence (FASTA and HELM format)</t>
  </si>
  <si>
    <t>LD 2024-3 Pass 3 (StartDate: 29/July/2024)</t>
  </si>
  <si>
    <t>LD 2024-2 Pass 2 (StartDate: 14/May/2024) Build(#)</t>
  </si>
  <si>
    <t>LD 2024-2 Pass 1 (StartDate: 08/March/2024) Build(#)</t>
  </si>
  <si>
    <t>In Progress (94%)</t>
  </si>
  <si>
    <t>Biologics_FF</t>
  </si>
  <si>
    <t>Check status of ENABLE_BIOLOGICS to access Bio-features</t>
  </si>
  <si>
    <t>Basic UI</t>
  </si>
  <si>
    <t>Biologics Import UI: Bio-import option should be present</t>
  </si>
  <si>
    <t>Biologics Import UI: Entity/ Entity lot and Experiments import options</t>
  </si>
  <si>
    <t>Click on Folder Icon should open local directory</t>
  </si>
  <si>
    <t>FASTA</t>
  </si>
  <si>
    <t xml:space="preserve">FASTA import: Check import for all the Entity types </t>
  </si>
  <si>
    <t>Check import for separate and single entity</t>
  </si>
  <si>
    <t>Upload a single fasta file containing multiple sequences (must be peptide, ssDNA/ssRNA)</t>
  </si>
  <si>
    <t>If the importing ID matches preexisting ID, the 'Next' button should be greyed out.</t>
  </si>
  <si>
    <t>SS-46853</t>
  </si>
  <si>
    <t>Importing a file with ambigous format does not cause it to loop at 'Loading' page.</t>
  </si>
  <si>
    <t>SS-46847</t>
  </si>
  <si>
    <t xml:space="preserve">The Next should not be available until all the chains have been mapped. </t>
  </si>
  <si>
    <t>After importing a DNA/RNA file, the sequence viewer should not show 'I' as a nucleotide.</t>
  </si>
  <si>
    <t>Full sequence header should be visible when hovered over the fasta headers.</t>
  </si>
  <si>
    <t>SS-45458</t>
  </si>
  <si>
    <t>Lot Property columns are not present while mapping fasta headers.</t>
  </si>
  <si>
    <t>SS-45652</t>
  </si>
  <si>
    <t xml:space="preserve">Downloading an imported should be imported without any error. </t>
  </si>
  <si>
    <t>SS-47511</t>
  </si>
  <si>
    <t>Going back and unchecking the LiveDesign ID option should not have empty columns</t>
  </si>
  <si>
    <t>SS-47563</t>
  </si>
  <si>
    <t xml:space="preserve">Table header should mention Fasta header and chain instead of CSV property and LiveDesign columns. </t>
  </si>
  <si>
    <t>SS-45455</t>
  </si>
  <si>
    <t>Biologic Entity Import file formats: FASTA, HELM, ZIP of HELM &amp; FASTA, CSV with sequence columns containing monomer strings, and CSV with sequence column containing HELM.</t>
  </si>
  <si>
    <t>SS-45593</t>
  </si>
  <si>
    <t>Entity types: ssRNA, dsDNA, peptide, Fv, Fab, Fab2, monoclonal Ab, bispecific Ab etc</t>
  </si>
  <si>
    <t>SS-45457</t>
  </si>
  <si>
    <t>HELM</t>
  </si>
  <si>
    <t>Select a HELM file to import</t>
  </si>
  <si>
    <t xml:space="preserve">ID name should be the same as that of file name </t>
  </si>
  <si>
    <t>SS-41607</t>
  </si>
  <si>
    <t>Edit the ID: provide a new ID when conflicting IDs are present (no special characters are allowed except '-')</t>
  </si>
  <si>
    <t>SS-46603</t>
  </si>
  <si>
    <t>Check "Use LiveDesign ID" option for default LD ID (text under ID column should change and read as: LiveDesign ID assigned at registration)</t>
  </si>
  <si>
    <t>Check "Only show rows with conflicts" option for entities with conflicting IDs</t>
  </si>
  <si>
    <t>LiveDesign should import the antibody that it exports.</t>
  </si>
  <si>
    <t>SS-45971</t>
  </si>
  <si>
    <t>If importing a HELM file, it should not add a new column called 'helm(undefined)'</t>
  </si>
  <si>
    <t>SS-45281</t>
  </si>
  <si>
    <t>Import and export of a HELM file in different file formats should be done without any glitches.</t>
  </si>
  <si>
    <t>SS-46120</t>
  </si>
  <si>
    <t>Check images in first column match entity type and for HELM peptides shows specified connectivity in beads on a string representation</t>
  </si>
  <si>
    <t>Check import of various entity types (Fv, Fab, Monospecific, Bispecific etc...)</t>
  </si>
  <si>
    <t>Purge imported entities and try reimporting</t>
  </si>
  <si>
    <t>SS-44396</t>
  </si>
  <si>
    <t>For biologics that have subcomponents (branched peptides, Fv, Fab, Fab2, mAb, bispec Ab) - appropriate children/grandchildren entities should be created</t>
  </si>
  <si>
    <t>CSV</t>
  </si>
  <si>
    <t>Import a biologic with a new ID, but with the same sequence and entity type of an existing biologic, and check that the biologic is deduplicated, original biologic is added to the LR, and new ID is appended to the user ID column</t>
  </si>
  <si>
    <t>Import a CSV file</t>
  </si>
  <si>
    <t>SS-45217</t>
  </si>
  <si>
    <t>SS-47015</t>
  </si>
  <si>
    <t>For Separate Entities, select entity type (Fv, Fab, Monospecific, Bispecific etc...)</t>
  </si>
  <si>
    <t>SS-47042</t>
  </si>
  <si>
    <t>Check "Seqeunce provided" option</t>
  </si>
  <si>
    <t>Seqeunce Syntax: HELM/ Monomer String (If Sequence is provided)</t>
  </si>
  <si>
    <t>Select or Deselect Mapping options: ID/ SS/ AS</t>
  </si>
  <si>
    <t xml:space="preserve">If the sequence column is before the ID column, the Assign ID section should still be populTed with the IDs from ID column and not with the sequence. </t>
  </si>
  <si>
    <t>SS-47380</t>
  </si>
  <si>
    <t>Entities should be imported when some columns are unchecked.</t>
  </si>
  <si>
    <t>SS-46071</t>
  </si>
  <si>
    <t xml:space="preserve">Check if the empty sequence columns is being shown in resolve conflicts window. </t>
  </si>
  <si>
    <t>SS-42868</t>
  </si>
  <si>
    <t>IDs should be editable (no special characters are allowed except '-')</t>
  </si>
  <si>
    <t>"Skip" (donot import) is selected then Entities shouldn't be imported</t>
  </si>
  <si>
    <t>"Apply" button should only come when "Skip" is selected</t>
  </si>
  <si>
    <t>ZIP</t>
  </si>
  <si>
    <t>Mapping options should be present against a valid Entity type</t>
  </si>
  <si>
    <t>FASTA Import: BE filter should be working properly.</t>
  </si>
  <si>
    <t>SS-46572</t>
  </si>
  <si>
    <t xml:space="preserve">FASTA Import: Check Import for multiple entities in a single file. </t>
  </si>
  <si>
    <t xml:space="preserve">FASTA Import: Check import for multi-chain Biologic entity. </t>
  </si>
  <si>
    <t>FASTA Import: Sequence Provided and Sequence Syntax option should be deselected.</t>
  </si>
  <si>
    <t>"NEXT" button should be greyed out until mapping is done properly</t>
  </si>
  <si>
    <t xml:space="preserve">FASTA Import: If the ID is already present, the Next Button should not be available in 'Assign IDs' window. </t>
  </si>
  <si>
    <t>Toggle button-Show only conflicting rows</t>
  </si>
  <si>
    <t>FASTA Import: Check import for peptides with non-natural amino acids.</t>
  </si>
  <si>
    <t xml:space="preserve">FASTA Import: If there is an error with the File import, the screen should directly go back to the Import Panel. </t>
  </si>
  <si>
    <t>Use Livedesign ID, in case of conflicting IDs are present</t>
  </si>
  <si>
    <t>HELM Import: Check for the image opposite the entity.</t>
  </si>
  <si>
    <t>SS-46401</t>
  </si>
  <si>
    <t>Check for the children and grandchildren for monospecific and bispecific antibodies.</t>
  </si>
  <si>
    <t>SS-46745</t>
  </si>
  <si>
    <t>HELM Import: Only Show Rows with conflicts is working properly.</t>
  </si>
  <si>
    <t xml:space="preserve">HELM Import: Check import for all entity types. </t>
  </si>
  <si>
    <t>Bio-Experiments</t>
  </si>
  <si>
    <t>Template file should be downloadable</t>
  </si>
  <si>
    <t>SS-43370</t>
  </si>
  <si>
    <t>Import a Bio-experiment file (Only xlsx format is accepted)</t>
  </si>
  <si>
    <t>Previous Protocol Names available in the dropdown</t>
  </si>
  <si>
    <t>Enter a valid protocol name</t>
  </si>
  <si>
    <t>Check for label and value of protocol metadata</t>
  </si>
  <si>
    <t>SS-45834</t>
  </si>
  <si>
    <t>LiveDesign should give a warning if the run ID is same for the previous experiment import.</t>
  </si>
  <si>
    <t>Import new data for existing protocol</t>
  </si>
  <si>
    <t>Import an experiment twice with same run ID but with different values and check if LiveDesign overwrites the previous value.</t>
  </si>
  <si>
    <t>When imported for the same protocol and lot number, the assay data is being overwritten if new data is added.</t>
  </si>
  <si>
    <t xml:space="preserve">Import an experiment with a different lot number and different run ID, it should be reflected in the LiveReport. </t>
  </si>
  <si>
    <t xml:space="preserve">Observational metadata fields dropdown should go away. </t>
  </si>
  <si>
    <t>SS-45952</t>
  </si>
  <si>
    <t>Sequence Viewer</t>
  </si>
  <si>
    <t>UI access: From the Tools as a plugin</t>
  </si>
  <si>
    <t>Check if the sequence-viewer loads</t>
  </si>
  <si>
    <t>test_sequence_viewer.py</t>
  </si>
  <si>
    <t>Cannot open multiple instances of this plugin</t>
  </si>
  <si>
    <t>Popout the Sequence viewer</t>
  </si>
  <si>
    <t>Check if the sequence-viewer can load sequences from the uploaded Biologics file</t>
  </si>
  <si>
    <t>Check the scrolling on the viewer (Vertical and horizontal both)</t>
  </si>
  <si>
    <t>SS-44736
SS-45548</t>
  </si>
  <si>
    <t>ID, Label, sequences</t>
  </si>
  <si>
    <t>Numbering for sequences (E.g. .2.4.6.8.10.)</t>
  </si>
  <si>
    <t>Peptide coloring scheme</t>
  </si>
  <si>
    <t>Nucleic acid coloring scheme</t>
  </si>
  <si>
    <t>Dropdown to select the chain within entities.</t>
  </si>
  <si>
    <t>Selecting different entities automatically update chain type in the dropdown</t>
  </si>
  <si>
    <t>SS-43279</t>
  </si>
  <si>
    <t>Align dropdown having 3 options (None, MSA, PA) Default is 'None'</t>
  </si>
  <si>
    <t>Try with load of 100+ biologic entities</t>
  </si>
  <si>
    <t>No support for cyclic or branched peptides</t>
  </si>
  <si>
    <t>Align in 'Multiple Sequence Alignment' mode</t>
  </si>
  <si>
    <t>Can choose reference seq from dropdown in MSA mode</t>
  </si>
  <si>
    <t>SS-45374</t>
  </si>
  <si>
    <t>Searchbox for reference sequence dropdown</t>
  </si>
  <si>
    <t>For Antibody alignment, autoannotation should be displayed against the first sequence in the alignment</t>
  </si>
  <si>
    <t>SS-44686</t>
  </si>
  <si>
    <t>Align with a reference sequence for Pairwise Alignment</t>
  </si>
  <si>
    <t>Order of sequence in the alignment dropdown and in the viewer should match</t>
  </si>
  <si>
    <t>Order in the alignment dropdown should be in the order the entities were selected, irrespective of their order in LR</t>
  </si>
  <si>
    <t>SS-42410</t>
  </si>
  <si>
    <t>For pairwise alignment selected reference sequence should move to the top and rest should remain in same position</t>
  </si>
  <si>
    <t>Numbering scheme for Antibodies (default Kabat)</t>
  </si>
  <si>
    <t>Show % score checkbox</t>
  </si>
  <si>
    <t>Similarity', 'Identity' dropdown options</t>
  </si>
  <si>
    <t>Toggle 'display structural auto-annotations' (only for aligned Abs)</t>
  </si>
  <si>
    <t>Support for both RNA and DNA sequences. According to helm the DNA polymer should be treated as RNA</t>
  </si>
  <si>
    <t>Penalties (Gap Opening, Gap Extending) show for alignment but non-editable</t>
  </si>
  <si>
    <t>Tooltip</t>
  </si>
  <si>
    <t>Turn tooltip on/off by toggling 'Show residue tooltip'</t>
  </si>
  <si>
    <t>Show tooltip in place (default) or docked at boottom</t>
  </si>
  <si>
    <t>Can configure tooltip field (4 fields default, add on Structural Features)</t>
  </si>
  <si>
    <t>Can add/remove multiple fileds and rearrange them</t>
  </si>
  <si>
    <t>Can't delete all fields from configure fields</t>
  </si>
  <si>
    <t>Reset button resets the tooltip fileds to default state (doesn't affect tooltip position)</t>
  </si>
  <si>
    <t>All tooltip configurations (including position and fields) remain same even after reload (Forms View)</t>
  </si>
  <si>
    <t>Forms View</t>
  </si>
  <si>
    <t>Sequence Viewer in Forms view</t>
  </si>
  <si>
    <t>Registration</t>
  </si>
  <si>
    <t>Check registration via Import</t>
  </si>
  <si>
    <t>Check registration via DI</t>
  </si>
  <si>
    <t>DI of Biologics</t>
  </si>
  <si>
    <t>DI'ing Biologics: HELM format</t>
  </si>
  <si>
    <t>Image Gen for bio entities registered through ACAS</t>
  </si>
  <si>
    <t>Test Plan</t>
  </si>
  <si>
    <t>Test for Monoclonal antibodies</t>
  </si>
  <si>
    <t>Test for Bispecific Antibodies</t>
  </si>
  <si>
    <t>Test for peptides/antibody arms</t>
  </si>
  <si>
    <t>Test for DNA(try with both ss and ds)</t>
  </si>
  <si>
    <t>Test for RNA(try with both ss and ds)</t>
  </si>
  <si>
    <t>Test for Peptide and Chemical entity conjugate</t>
  </si>
  <si>
    <t>Bio sequences show up in MSV</t>
  </si>
  <si>
    <t>DI'ing Biologics: FASTA format</t>
  </si>
  <si>
    <t>Test for antibodies</t>
  </si>
  <si>
    <t>Real-Virtual Linking</t>
  </si>
  <si>
    <t>Can register a Real ID via ACAS for a Virtual Biologics entity (hacky way for now)</t>
  </si>
  <si>
    <t>Real ID is created by adding "BIO-" prefix to actual ID of compound</t>
  </si>
  <si>
    <t>Real entry can be searched in LD via ID search</t>
  </si>
  <si>
    <t>Real entry has Real ID in "ID" column &amp; virtual ID shifts into "All IDs" column (SS-45575)</t>
  </si>
  <si>
    <t>Real &amp; Virtual IDs are accessible in synaptic DB (ld_entity &amp; alias tables)</t>
  </si>
  <si>
    <t>Filters</t>
  </si>
  <si>
    <t>Sequence Filter</t>
  </si>
  <si>
    <t>Apply "Biologic Sequnece" filter from Filter picker dropdown</t>
  </si>
  <si>
    <t>Check dropdown for HELM and FASTA Filter options</t>
  </si>
  <si>
    <t>Filters sequence in both forward or reverse direction</t>
  </si>
  <si>
    <t>SS-46856</t>
  </si>
  <si>
    <t>Verify placeholder text for FASTA and HELM String search options</t>
  </si>
  <si>
    <t xml:space="preserve">FASTA DNA/ RNA/ Peptide: Filter via nucleic acid subsequence </t>
  </si>
  <si>
    <t>Helm String: Filter by entering Helm string query</t>
  </si>
  <si>
    <t>Editing filter queries for both (FASTA &amp; HELM format) should be smooth</t>
  </si>
  <si>
    <t>SS-47224</t>
  </si>
  <si>
    <t>Invert subsequence filters</t>
  </si>
  <si>
    <t>Filter on "Format"</t>
  </si>
  <si>
    <t>Entering queries in an incorrect format should not work</t>
  </si>
  <si>
    <t>Composite Row Filters</t>
  </si>
  <si>
    <t>Complex Filters FF should be enabled to access Composite Row Filters</t>
  </si>
  <si>
    <t>true by default from 24-2 onwards</t>
  </si>
  <si>
    <t>"Match by Property" &amp; "Match by Child" options should be accesible from the gear icon of a filter</t>
  </si>
  <si>
    <t>Match by Property' matches a child and not parent, only the child will be returned</t>
  </si>
  <si>
    <t>Match by Property' matches a parent, the parent and every child under it will be returned</t>
  </si>
  <si>
    <t>Match by Property' matches a sibling, only that sibling along with its child will be returned</t>
  </si>
  <si>
    <t>Match by Child (non-parent) Property' matches any child or grandchild, full ancestry tree will be returned</t>
  </si>
  <si>
    <t>Match by Child (non-parent) Property' matches the top level parent, nothing will be returned</t>
  </si>
  <si>
    <t>Inverted filters with above conditions</t>
  </si>
  <si>
    <t>Advanced Filters</t>
  </si>
  <si>
    <t>Check all the above cases in Complex mode (Inverted/ Non-inverted conditions)</t>
  </si>
  <si>
    <t>Combination of filters with AND/OR operators</t>
  </si>
  <si>
    <t>SEQUENCE SEARCH</t>
  </si>
  <si>
    <t>Search for amino acid based biologics with both FASTA and HELM notation searches (subsequence &amp; full sequence search)</t>
  </si>
  <si>
    <t>SS-45384</t>
  </si>
  <si>
    <t>Search for nucleic acid based biologics with HELM notation searches (subsequence &amp; full sequence search)</t>
  </si>
  <si>
    <t>Reverse sequence search for both NA/AA</t>
  </si>
  <si>
    <t>Search results respect project ACLs</t>
  </si>
  <si>
    <t>SS-45279</t>
  </si>
  <si>
    <t>Automatically select newly added rows after search</t>
  </si>
  <si>
    <t>SS-45770</t>
  </si>
  <si>
    <t>3D</t>
  </si>
  <si>
    <t>Test "THREE_D_STYLE" property (SMALL_MOLECULES, BIOLOGICS, MATERIALS)</t>
  </si>
  <si>
    <t>Test 3D Styles for BIOLOGICS:
Biologic, Target, Background, Reset Custom Styles</t>
  </si>
  <si>
    <t>Test Biologic and Target surfaces</t>
  </si>
  <si>
    <t>Save scene actually saves selected styles for biologics</t>
  </si>
  <si>
    <t>SS-45563</t>
  </si>
  <si>
    <t>Total Cases = 183</t>
  </si>
  <si>
    <t>LD 2024-2 Pass 2 (StartDate: 14/May/2024)</t>
  </si>
  <si>
    <t>LD 2024-1 Pass 3 (StartDate: 6/Feb/2024) Build(#)</t>
  </si>
  <si>
    <t>LD 2024-1 Pass 2 (StartDate: 3/Jan/2023) Build(#)</t>
  </si>
  <si>
    <t>LD 2024-1 Pass 1 (StartDate: 28/Nov/2023) Build(#)</t>
  </si>
  <si>
    <t>In Progress (6%)</t>
  </si>
  <si>
    <t>Upload a single fasta file containing multiple sequences</t>
  </si>
  <si>
    <t>Purge imported entities try reimporting</t>
  </si>
  <si>
    <t>SS-45527</t>
  </si>
  <si>
    <t xml:space="preserve">FASTA import: Dropdown for selection of Entity type </t>
  </si>
  <si>
    <t xml:space="preserve">Check for label and value </t>
  </si>
  <si>
    <t>Popout the Sequence viewer plugin</t>
  </si>
  <si>
    <t>SS-45571</t>
  </si>
  <si>
    <t>SS-45187</t>
  </si>
  <si>
    <t>Turn tooltip on/off</t>
  </si>
  <si>
    <t>Biologics FF</t>
  </si>
  <si>
    <t>Check functionality of ENABLE_BIOLOGICS to access Bio-features</t>
  </si>
  <si>
    <t>Search via Sequence (Monomer String and HELM format)</t>
  </si>
  <si>
    <t>FILTERS</t>
  </si>
  <si>
    <t>Create Sequence Filter (in Simple &amp; Complex filter view)</t>
  </si>
  <si>
    <t>For 24-1, Complex Filters will be turned OFF</t>
  </si>
  <si>
    <t>SS-45382</t>
  </si>
  <si>
    <t>Sequence Filter on Monomer Amino Acid String</t>
  </si>
  <si>
    <t>HELM notated sequence for filtering any type of biologic.</t>
  </si>
  <si>
    <t>Inverted filters should still just return biologics (not containing sequence string)</t>
  </si>
  <si>
    <t>All sequence filters are exact match</t>
  </si>
  <si>
    <t>Search for amino acid based biologics with both monomer string and HELM notation searches (subsequence &amp; full sequence search)</t>
  </si>
  <si>
    <t>SS-46143</t>
  </si>
  <si>
    <t>Experiment Import</t>
  </si>
  <si>
    <t>Template file available for download</t>
  </si>
  <si>
    <t>Create new Experiment Protocol Name</t>
  </si>
  <si>
    <t>Add metadata 'Label' and 'Value' pairs</t>
  </si>
  <si>
    <t>SS-45466</t>
  </si>
  <si>
    <t>Selecting previously added protocol displays metadata previously saved</t>
  </si>
  <si>
    <t>Modify previous metadata fields</t>
  </si>
  <si>
    <t>SS-45877</t>
  </si>
  <si>
    <t>Total Cases = 142</t>
  </si>
  <si>
    <t>LD 2024-1 Pass 3 (StartDate: 6/Feb/2024)</t>
  </si>
  <si>
    <t>LD 2023-4 Pass 3 (StartDate: 31/Oct/2023) Build(#)</t>
  </si>
  <si>
    <t>LD 2023-4 Pass 2 (StartDate: 16/Oct/2023) Build(#)</t>
  </si>
  <si>
    <t>LD 2022-1 Pass 1 (StartDate: 12/10/2020) Build(#)</t>
  </si>
  <si>
    <t>biologic entity import from the following file formats: HELM, ZIP of HELM, CSV with sequence columns containing monomer strings, and CSV with sequence column containing HELM.</t>
  </si>
  <si>
    <t>SS-43950</t>
  </si>
  <si>
    <t>entity types: single stranded RNA, double stranded DNA, peptide, Fv, Fab, Fab2, monoclonal Ab, bispecific Ab</t>
  </si>
  <si>
    <t>purge imported entities try reimporting</t>
  </si>
  <si>
    <t>check images in first column match entity type and for HELM peptides shows specified connectivity in beads on a string representation</t>
  </si>
  <si>
    <t>SS-44736</t>
  </si>
  <si>
    <t>Align checkbox(selecting and de-selecting)</t>
  </si>
  <si>
    <t>Try with load of max biologic entities</t>
  </si>
  <si>
    <t>No support for a single fasta file containing multiple biologic sequences.</t>
  </si>
  <si>
    <t>Align in 'Best Fit' mode</t>
  </si>
  <si>
    <t>Align with a reference sequence</t>
  </si>
  <si>
    <t>Display Option button</t>
  </si>
  <si>
    <t>Lower section for Annotations with a toggle button (only for aligned Abs)</t>
  </si>
  <si>
    <t>RNA sequences show up in the viewer</t>
  </si>
  <si>
    <t>Bispecific support to viewer</t>
  </si>
  <si>
    <t>SS-44246</t>
  </si>
  <si>
    <t>SS-44294</t>
  </si>
  <si>
    <t>SS-44288</t>
  </si>
  <si>
    <t>SS-44001</t>
  </si>
  <si>
    <t xml:space="preserve">Not Supported </t>
  </si>
  <si>
    <t>SS-41943</t>
  </si>
  <si>
    <t>SS-44266</t>
  </si>
  <si>
    <t>SS-44248</t>
  </si>
  <si>
    <t>SS-44267</t>
  </si>
  <si>
    <t>SS-44269</t>
  </si>
  <si>
    <t>Search for amino acid based biologics with both monomer string and HELM notation searches</t>
  </si>
  <si>
    <t>Search for nucleic acid based biologics with HELM notation searches</t>
  </si>
  <si>
    <t>All sequence search are exact match</t>
  </si>
  <si>
    <t>3D STYLES</t>
  </si>
  <si>
    <t>Total Cases = 130</t>
  </si>
  <si>
    <t>LD 2023-4 Pass 3 (StartDate: 31/Oct/2023)</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</si>
</sst>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scheme val="minor"/>
    </font>
    <font/>
    <font>
      <b/>
      <color theme="1"/>
      <name val="Arial"/>
      <scheme val="minor"/>
    </font>
    <font>
      <sz val="10.0"/>
      <color rgb="FF172B4D"/>
      <name val="Arial"/>
      <scheme val="minor"/>
    </font>
    <font>
      <u/>
      <color rgb="FF0000FF"/>
    </font>
    <font>
      <u/>
      <color rgb="FF0000FF"/>
    </font>
    <font>
      <u/>
      <color rgb="FF0000FF"/>
      <name val="Arial"/>
    </font>
    <font>
      <u/>
      <color rgb="FF0000FF"/>
    </font>
    <font>
      <sz val="11.0"/>
      <color theme="1"/>
      <name val="Arial"/>
    </font>
    <font>
      <sz val="11.0"/>
      <color rgb="FF003399"/>
      <name val="Arial"/>
    </font>
    <font>
      <sz val="11.0"/>
      <color rgb="FF000000"/>
      <name val="Arial"/>
    </font>
    <font>
      <u/>
      <sz val="10.0"/>
      <color rgb="FF1155CC"/>
      <name val="Arial"/>
    </font>
    <font>
      <sz val="11.0"/>
      <color rgb="FF003399"/>
      <name val="-apple-system"/>
    </font>
    <font>
      <sz val="10.0"/>
      <color rgb="FF1155CC"/>
      <name val="-apple-system"/>
    </font>
    <font>
      <u/>
      <sz val="10.0"/>
      <color rgb="FF1155CC"/>
      <name val="-apple-system"/>
    </font>
    <font>
      <sz val="11.0"/>
      <color rgb="FF1155CC"/>
      <name val="Arial"/>
    </font>
    <font>
      <b/>
      <sz val="15.0"/>
      <color theme="1"/>
      <name val="Arial"/>
      <scheme val="minor"/>
    </font>
    <font>
      <color theme="1"/>
      <name val="Arial"/>
    </font>
    <font>
      <color rgb="FF222222"/>
      <name val="Arial"/>
    </font>
    <font>
      <sz val="11.0"/>
      <color rgb="FF1155CC"/>
      <name val="-apple-system"/>
    </font>
    <font>
      <color rgb="FF000000"/>
      <name val="Arial"/>
      <scheme val="minor"/>
    </font>
    <font>
      <u/>
      <color rgb="FF1155CC"/>
      <name val="Arial"/>
      <scheme val="minor"/>
    </font>
    <font>
      <b/>
      <color theme="1"/>
      <name val="Arial"/>
    </font>
    <font>
      <color rgb="FF000000"/>
      <name val="Arial"/>
    </font>
  </fonts>
  <fills count="35">
    <fill>
      <patternFill patternType="none"/>
    </fill>
    <fill>
      <patternFill patternType="lightGray"/>
    </fill>
    <fill>
      <patternFill patternType="solid">
        <fgColor rgb="FFFF0000"/>
        <bgColor rgb="FFFF0000"/>
      </patternFill>
    </fill>
    <fill>
      <patternFill patternType="solid">
        <fgColor rgb="FFFF8300"/>
        <bgColor rgb="FFFF8300"/>
      </patternFill>
    </fill>
    <fill>
      <patternFill patternType="solid">
        <fgColor rgb="FFFFD27F"/>
        <bgColor rgb="FFFFD27F"/>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B7B7B7"/>
        <bgColor rgb="FFB7B7B7"/>
      </patternFill>
    </fill>
    <fill>
      <patternFill patternType="solid">
        <fgColor rgb="FFD2D203"/>
        <bgColor rgb="FFD2D203"/>
      </patternFill>
    </fill>
    <fill>
      <patternFill patternType="solid">
        <fgColor rgb="FF90EE90"/>
        <bgColor rgb="FF90EE90"/>
      </patternFill>
    </fill>
    <fill>
      <patternFill patternType="solid">
        <fgColor rgb="FF5B9FAE"/>
        <bgColor rgb="FF5B9FAE"/>
      </patternFill>
    </fill>
    <fill>
      <patternFill patternType="solid">
        <fgColor rgb="FF999999"/>
        <bgColor rgb="FF999999"/>
      </patternFill>
    </fill>
    <fill>
      <patternFill patternType="solid">
        <fgColor rgb="FF6F5858"/>
        <bgColor rgb="FF6F5858"/>
      </patternFill>
    </fill>
    <fill>
      <patternFill patternType="solid">
        <fgColor rgb="FF434343"/>
        <bgColor rgb="FF434343"/>
      </patternFill>
    </fill>
    <fill>
      <patternFill patternType="solid">
        <fgColor rgb="FF816310"/>
        <bgColor rgb="FF816310"/>
      </patternFill>
    </fill>
    <fill>
      <patternFill patternType="solid">
        <fgColor rgb="FFFF6100"/>
        <bgColor rgb="FFFF6100"/>
      </patternFill>
    </fill>
    <fill>
      <patternFill patternType="solid">
        <fgColor rgb="FF635353"/>
        <bgColor rgb="FF635353"/>
      </patternFill>
    </fill>
    <fill>
      <patternFill patternType="solid">
        <fgColor rgb="FFFF00FF"/>
        <bgColor rgb="FFFF00FF"/>
      </patternFill>
    </fill>
    <fill>
      <patternFill patternType="solid">
        <fgColor rgb="FFCB95B1"/>
        <bgColor rgb="FFCB95B1"/>
      </patternFill>
    </fill>
    <fill>
      <patternFill patternType="solid">
        <fgColor rgb="FF00FF2A"/>
        <bgColor rgb="FF00FF2A"/>
      </patternFill>
    </fill>
    <fill>
      <patternFill patternType="solid">
        <fgColor rgb="FFD1A989"/>
        <bgColor rgb="FFD1A989"/>
      </patternFill>
    </fill>
    <fill>
      <patternFill patternType="solid">
        <fgColor rgb="FFF600FF"/>
        <bgColor rgb="FFF600FF"/>
      </patternFill>
    </fill>
    <fill>
      <patternFill patternType="solid">
        <fgColor rgb="FF3D4E71"/>
        <bgColor rgb="FF3D4E71"/>
      </patternFill>
    </fill>
    <fill>
      <patternFill patternType="solid">
        <fgColor rgb="FF666666"/>
        <bgColor rgb="FF666666"/>
      </patternFill>
    </fill>
    <fill>
      <patternFill patternType="solid">
        <fgColor rgb="FFC0FFFA"/>
        <bgColor rgb="FFC0FFFA"/>
      </patternFill>
    </fill>
    <fill>
      <patternFill patternType="solid">
        <fgColor rgb="FFB25590"/>
        <bgColor rgb="FFB25590"/>
      </patternFill>
    </fill>
    <fill>
      <patternFill patternType="solid">
        <fgColor rgb="FF8E7CC3"/>
        <bgColor rgb="FF8E7CC3"/>
      </patternFill>
    </fill>
    <fill>
      <patternFill patternType="solid">
        <fgColor rgb="FFE6B8AF"/>
        <bgColor rgb="FFE6B8AF"/>
      </patternFill>
    </fill>
    <fill>
      <patternFill patternType="solid">
        <fgColor rgb="FF961C35"/>
        <bgColor rgb="FF961C35"/>
      </patternFill>
    </fill>
    <fill>
      <patternFill patternType="solid">
        <fgColor rgb="FF7F905A"/>
        <bgColor rgb="FF7F905A"/>
      </patternFill>
    </fill>
    <fill>
      <patternFill patternType="solid">
        <fgColor rgb="FFC9DAF8"/>
        <bgColor rgb="FFC9DAF8"/>
      </patternFill>
    </fill>
    <fill>
      <patternFill patternType="solid">
        <fgColor rgb="FFFF9900"/>
        <bgColor rgb="FFFF9900"/>
      </patternFill>
    </fill>
    <fill>
      <patternFill patternType="solid">
        <fgColor rgb="FFA4C2F4"/>
        <bgColor rgb="FFA4C2F4"/>
      </patternFill>
    </fill>
    <fill>
      <patternFill patternType="solid">
        <fgColor theme="5"/>
        <bgColor theme="5"/>
      </patternFill>
    </fill>
  </fills>
  <borders count="33">
    <border/>
    <border>
      <left style="medium">
        <color rgb="FF000000"/>
      </left>
      <right style="thick">
        <color rgb="FF000000"/>
      </right>
      <top style="medium">
        <color rgb="FF000000"/>
      </top>
      <bottom style="thick">
        <color rgb="FF000000"/>
      </bottom>
    </border>
    <border>
      <left style="thick">
        <color rgb="FF000000"/>
      </left>
      <right style="thick">
        <color rgb="FF000000"/>
      </right>
      <top style="medium">
        <color rgb="FF000000"/>
      </top>
      <bottom style="thick">
        <color rgb="FF000000"/>
      </bottom>
    </border>
    <border>
      <top style="medium">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medium">
        <color rgb="FF000000"/>
      </left>
    </border>
    <border>
      <right style="medium">
        <color rgb="FF000000"/>
      </right>
    </border>
    <border>
      <left style="medium">
        <color rgb="FF000000"/>
      </left>
      <right style="thick">
        <color rgb="FF000000"/>
      </right>
      <top style="thick">
        <color rgb="FF000000"/>
      </top>
    </border>
    <border>
      <left style="thick">
        <color rgb="FF000000"/>
      </left>
      <right style="thick">
        <color rgb="FF000000"/>
      </right>
      <top style="thick">
        <color rgb="FF000000"/>
      </top>
    </border>
    <border>
      <left style="thick">
        <color rgb="FF000000"/>
      </left>
      <right style="medium">
        <color rgb="FF000000"/>
      </right>
      <top style="thick">
        <color rgb="FF000000"/>
      </top>
      <bottom style="thick">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right style="thin">
        <color rgb="FF000000"/>
      </right>
    </border>
    <border>
      <left style="thin">
        <color rgb="FF000000"/>
      </left>
      <right style="thin">
        <color rgb="FF000000"/>
      </right>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border>
    <border>
      <left style="thin">
        <color rgb="FF000000"/>
      </left>
      <bottom style="thin">
        <color rgb="FF000000"/>
      </bottom>
    </border>
    <border>
      <left style="thin">
        <color rgb="FF000000"/>
      </left>
      <top style="thin">
        <color rgb="FF000000"/>
      </top>
    </border>
    <border>
      <top style="thin">
        <color rgb="FF000000"/>
      </top>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0" fontId="1" numFmtId="0" xfId="0" applyAlignment="1" applyBorder="1" applyFont="1">
      <alignment horizontal="center" shrinkToFit="0" textRotation="0" vertical="center" wrapText="1"/>
    </xf>
    <xf borderId="2" fillId="0" fontId="1" numFmtId="0" xfId="0" applyAlignment="1" applyBorder="1" applyFont="1">
      <alignment horizontal="center" vertical="bottom"/>
    </xf>
    <xf borderId="3" fillId="0" fontId="1" numFmtId="0" xfId="0" applyAlignment="1" applyBorder="1" applyFont="1">
      <alignment horizontal="center" vertical="bottom"/>
    </xf>
    <xf borderId="4" fillId="2" fontId="1" numFmtId="0" xfId="0" applyAlignment="1" applyBorder="1" applyFill="1" applyFont="1">
      <alignment horizontal="center" readingOrder="0" vertical="bottom"/>
    </xf>
    <xf borderId="5" fillId="0" fontId="1" numFmtId="0" xfId="0" applyAlignment="1" applyBorder="1" applyFont="1">
      <alignment horizontal="center" readingOrder="0" shrinkToFit="0" vertical="bottom" wrapText="1"/>
    </xf>
    <xf borderId="6" fillId="0" fontId="2" numFmtId="0" xfId="0" applyBorder="1" applyFont="1"/>
    <xf borderId="7" fillId="0" fontId="2" numFmtId="0" xfId="0" applyBorder="1" applyFont="1"/>
    <xf borderId="0" fillId="0" fontId="1" numFmtId="0" xfId="0" applyAlignment="1" applyFont="1">
      <alignment horizontal="center" vertical="bottom"/>
    </xf>
    <xf borderId="8" fillId="0" fontId="1" numFmtId="0" xfId="0" applyAlignment="1" applyBorder="1" applyFont="1">
      <alignment horizontal="center" shrinkToFit="0" textRotation="0" vertical="center" wrapText="1"/>
    </xf>
    <xf borderId="9" fillId="0" fontId="1" numFmtId="0" xfId="0" applyAlignment="1" applyBorder="1" applyFont="1">
      <alignment horizontal="center" vertical="bottom"/>
    </xf>
    <xf borderId="4" fillId="3" fontId="1" numFmtId="0" xfId="0" applyAlignment="1" applyBorder="1" applyFill="1" applyFont="1">
      <alignment horizontal="center" readingOrder="0" vertical="bottom"/>
    </xf>
    <xf borderId="4" fillId="0" fontId="3" numFmtId="0" xfId="0" applyAlignment="1" applyBorder="1" applyFont="1">
      <alignment horizontal="center" readingOrder="0" vertical="bottom"/>
    </xf>
    <xf borderId="8" fillId="0" fontId="3" numFmtId="0" xfId="0" applyAlignment="1" applyBorder="1" applyFont="1">
      <alignment horizontal="center" readingOrder="0" shrinkToFit="0" textRotation="0" vertical="center" wrapText="1"/>
    </xf>
    <xf borderId="4" fillId="4" fontId="1" numFmtId="0" xfId="0" applyAlignment="1" applyBorder="1" applyFill="1" applyFont="1">
      <alignment horizontal="center" readingOrder="0" vertical="bottom"/>
    </xf>
    <xf borderId="4" fillId="0" fontId="1" numFmtId="0" xfId="0" applyAlignment="1" applyBorder="1" applyFont="1">
      <alignment horizontal="center" readingOrder="0" vertical="bottom"/>
    </xf>
    <xf borderId="10" fillId="0" fontId="1" numFmtId="0" xfId="0" applyAlignment="1" applyBorder="1" applyFont="1">
      <alignment horizontal="center" shrinkToFit="0" textRotation="0" vertical="center" wrapText="1"/>
    </xf>
    <xf borderId="0" fillId="0" fontId="1" numFmtId="0" xfId="0" applyAlignment="1" applyFont="1">
      <alignment horizontal="left" vertical="bottom"/>
    </xf>
    <xf borderId="11" fillId="0" fontId="1" numFmtId="0" xfId="0" applyAlignment="1" applyBorder="1" applyFont="1">
      <alignment horizontal="center" vertical="bottom"/>
    </xf>
    <xf borderId="12" fillId="5" fontId="3" numFmtId="0" xfId="0" applyAlignment="1" applyBorder="1" applyFill="1" applyFont="1">
      <alignment horizontal="center" readingOrder="0" shrinkToFit="0" textRotation="0" vertical="center" wrapText="1"/>
    </xf>
    <xf borderId="13" fillId="5" fontId="3" numFmtId="0" xfId="0" applyAlignment="1" applyBorder="1" applyFont="1">
      <alignment horizontal="center" readingOrder="0" vertical="bottom"/>
    </xf>
    <xf borderId="9" fillId="5" fontId="3" numFmtId="0" xfId="0" applyAlignment="1" applyBorder="1" applyFont="1">
      <alignment horizontal="center" readingOrder="0" vertical="bottom"/>
    </xf>
    <xf borderId="14" fillId="5" fontId="3" numFmtId="0" xfId="0" applyAlignment="1" applyBorder="1" applyFont="1">
      <alignment horizontal="center" readingOrder="0" vertical="bottom"/>
    </xf>
    <xf borderId="4" fillId="0" fontId="1" numFmtId="0" xfId="0" applyAlignment="1" applyBorder="1" applyFont="1">
      <alignment horizontal="center" vertical="bottom"/>
    </xf>
    <xf borderId="15" fillId="0" fontId="1" numFmtId="0" xfId="0" applyAlignment="1" applyBorder="1" applyFont="1">
      <alignment horizontal="center" readingOrder="0" shrinkToFit="0" vertical="bottom" wrapText="1"/>
    </xf>
    <xf borderId="16" fillId="0" fontId="1" numFmtId="0" xfId="0" applyAlignment="1" applyBorder="1" applyFont="1">
      <alignment horizontal="center" vertical="bottom"/>
    </xf>
    <xf borderId="16" fillId="0" fontId="4" numFmtId="0" xfId="0" applyAlignment="1" applyBorder="1" applyFont="1">
      <alignment horizontal="center" readingOrder="0" shrinkToFit="0" vertical="bottom" wrapText="1"/>
    </xf>
    <xf borderId="0" fillId="6" fontId="5" numFmtId="0" xfId="0" applyAlignment="1" applyFill="1" applyFont="1">
      <alignment horizontal="center" readingOrder="0" shrinkToFit="0" vertical="bottom" wrapText="1"/>
    </xf>
    <xf borderId="4" fillId="7" fontId="1" numFmtId="0" xfId="0" applyAlignment="1" applyBorder="1" applyFill="1" applyFont="1">
      <alignment horizontal="center" readingOrder="0" vertical="bottom"/>
    </xf>
    <xf borderId="4" fillId="7" fontId="1" numFmtId="0" xfId="0" applyAlignment="1" applyBorder="1" applyFont="1">
      <alignment horizontal="center" readingOrder="0" shrinkToFit="0" vertical="center" wrapText="1"/>
    </xf>
    <xf borderId="17" fillId="0" fontId="2" numFmtId="0" xfId="0" applyBorder="1" applyFont="1"/>
    <xf borderId="15" fillId="0" fontId="1" numFmtId="0" xfId="0" applyAlignment="1" applyBorder="1" applyFont="1">
      <alignment horizontal="center" readingOrder="0" vertical="center"/>
    </xf>
    <xf borderId="16" fillId="0" fontId="1" numFmtId="0" xfId="0" applyAlignment="1" applyBorder="1" applyFont="1">
      <alignment horizontal="center" readingOrder="0" vertical="bottom"/>
    </xf>
    <xf borderId="11" fillId="0" fontId="6" numFmtId="0" xfId="0" applyAlignment="1" applyBorder="1" applyFont="1">
      <alignment horizontal="center" readingOrder="0" shrinkToFit="0" vertical="bottom" wrapText="1"/>
    </xf>
    <xf borderId="18" fillId="7" fontId="1" numFmtId="0" xfId="0" applyAlignment="1" applyBorder="1" applyFont="1">
      <alignment horizontal="center" readingOrder="0" vertical="bottom"/>
    </xf>
    <xf borderId="19" fillId="4" fontId="7" numFmtId="0" xfId="0" applyAlignment="1" applyBorder="1" applyFont="1">
      <alignment readingOrder="0" shrinkToFit="0" vertical="bottom" wrapText="1"/>
    </xf>
    <xf borderId="11" fillId="0" fontId="8" numFmtId="0" xfId="0" applyAlignment="1" applyBorder="1" applyFont="1">
      <alignment horizontal="center" readingOrder="0" vertical="bottom"/>
    </xf>
    <xf borderId="4" fillId="7" fontId="9" numFmtId="0" xfId="0" applyAlignment="1" applyBorder="1" applyFont="1">
      <alignment horizontal="center" readingOrder="0"/>
    </xf>
    <xf borderId="20" fillId="0" fontId="2" numFmtId="0" xfId="0" applyBorder="1" applyFont="1"/>
    <xf borderId="5" fillId="7" fontId="1" numFmtId="0" xfId="0" applyAlignment="1" applyBorder="1" applyFont="1">
      <alignment horizontal="center" readingOrder="0" vertical="bottom"/>
    </xf>
    <xf borderId="4" fillId="7" fontId="10" numFmtId="0" xfId="0" applyAlignment="1" applyBorder="1" applyFont="1">
      <alignment horizontal="center" readingOrder="0" vertical="center"/>
    </xf>
    <xf borderId="4" fillId="7" fontId="11" numFmtId="0" xfId="0" applyAlignment="1" applyBorder="1" applyFont="1">
      <alignment horizontal="center" readingOrder="0"/>
    </xf>
    <xf borderId="16" fillId="0" fontId="1" numFmtId="0" xfId="0" applyAlignment="1" applyBorder="1" applyFont="1">
      <alignment horizontal="center" readingOrder="0" vertical="center"/>
    </xf>
    <xf borderId="4" fillId="7" fontId="10" numFmtId="0" xfId="0" applyAlignment="1" applyBorder="1" applyFont="1">
      <alignment horizontal="center" readingOrder="0"/>
    </xf>
    <xf borderId="11" fillId="0" fontId="1" numFmtId="0" xfId="0" applyAlignment="1" applyBorder="1" applyFont="1">
      <alignment horizontal="center" readingOrder="0" vertical="bottom"/>
    </xf>
    <xf borderId="0" fillId="7" fontId="12" numFmtId="0" xfId="0" applyAlignment="1" applyFont="1">
      <alignment horizontal="center" readingOrder="0" vertical="center"/>
    </xf>
    <xf borderId="5" fillId="7" fontId="1" numFmtId="0" xfId="0" applyAlignment="1" applyBorder="1" applyFont="1">
      <alignment horizontal="center" readingOrder="0" vertical="bottom"/>
    </xf>
    <xf borderId="4" fillId="7" fontId="13" numFmtId="0" xfId="0" applyAlignment="1" applyBorder="1" applyFont="1">
      <alignment horizontal="center" readingOrder="0" vertical="center"/>
    </xf>
    <xf borderId="0" fillId="0" fontId="1" numFmtId="0" xfId="0" applyAlignment="1" applyFont="1">
      <alignment horizontal="center" readingOrder="0" vertical="bottom"/>
    </xf>
    <xf borderId="0" fillId="7" fontId="14" numFmtId="0" xfId="0" applyAlignment="1" applyFont="1">
      <alignment horizontal="center" readingOrder="0"/>
    </xf>
    <xf borderId="0" fillId="7" fontId="15" numFmtId="0" xfId="0" applyAlignment="1" applyFont="1">
      <alignment horizontal="center" readingOrder="0"/>
    </xf>
    <xf borderId="15" fillId="0" fontId="1" numFmtId="0" xfId="0" applyAlignment="1" applyBorder="1" applyFont="1">
      <alignment horizontal="center" readingOrder="0" shrinkToFit="0" vertical="center" wrapText="1"/>
    </xf>
    <xf borderId="4" fillId="7" fontId="16" numFmtId="0" xfId="0" applyAlignment="1" applyBorder="1" applyFont="1">
      <alignment horizontal="center" readingOrder="0" vertical="center"/>
    </xf>
    <xf borderId="21" fillId="7" fontId="1" numFmtId="0" xfId="0" applyAlignment="1" applyBorder="1" applyFont="1">
      <alignment horizontal="center" readingOrder="0" vertical="bottom"/>
    </xf>
    <xf borderId="16" fillId="0" fontId="1" numFmtId="0" xfId="0" applyAlignment="1" applyBorder="1" applyFont="1">
      <alignment horizontal="center" readingOrder="0" shrinkToFit="0" vertical="bottom" wrapText="1"/>
    </xf>
    <xf borderId="16" fillId="0" fontId="1" numFmtId="0" xfId="0" applyAlignment="1" applyBorder="1" applyFont="1">
      <alignment horizontal="center" readingOrder="0"/>
    </xf>
    <xf borderId="15" fillId="0" fontId="17" numFmtId="0" xfId="0" applyAlignment="1" applyBorder="1" applyFont="1">
      <alignment horizontal="center" readingOrder="0" shrinkToFit="0" textRotation="0" vertical="center" wrapText="1"/>
    </xf>
    <xf borderId="16" fillId="0" fontId="18" numFmtId="0" xfId="0" applyAlignment="1" applyBorder="1" applyFont="1">
      <alignment horizontal="center" shrinkToFit="0" vertical="bottom" wrapText="1"/>
    </xf>
    <xf borderId="0" fillId="8" fontId="1" numFmtId="0" xfId="0" applyAlignment="1" applyFill="1" applyFont="1">
      <alignment horizontal="center" readingOrder="0" vertical="bottom"/>
    </xf>
    <xf borderId="11" fillId="0" fontId="1" numFmtId="0" xfId="0" applyAlignment="1" applyBorder="1" applyFont="1">
      <alignment horizontal="center" readingOrder="0" vertical="bottom"/>
    </xf>
    <xf borderId="16" fillId="0" fontId="1" numFmtId="0" xfId="0" applyAlignment="1" applyBorder="1" applyFont="1">
      <alignment horizontal="center" readingOrder="0" shrinkToFit="0" vertical="center" wrapText="1"/>
    </xf>
    <xf borderId="22" fillId="7" fontId="1" numFmtId="0" xfId="0" applyAlignment="1" applyBorder="1" applyFont="1">
      <alignment horizontal="center" readingOrder="0" vertical="bottom"/>
    </xf>
    <xf borderId="16" fillId="0" fontId="1" numFmtId="0" xfId="0" applyAlignment="1" applyBorder="1" applyFont="1">
      <alignment horizontal="center" shrinkToFit="0" textRotation="0" vertical="center" wrapText="1"/>
    </xf>
    <xf borderId="4" fillId="7" fontId="1" numFmtId="0" xfId="0" applyAlignment="1" applyBorder="1" applyFont="1">
      <alignment horizontal="center" vertical="bottom"/>
    </xf>
    <xf borderId="23" fillId="7" fontId="18" numFmtId="0" xfId="0" applyAlignment="1" applyBorder="1" applyFont="1">
      <alignment horizontal="center"/>
    </xf>
    <xf borderId="0" fillId="7" fontId="1" numFmtId="0" xfId="0" applyAlignment="1" applyFont="1">
      <alignment horizontal="center" vertical="bottom"/>
    </xf>
    <xf borderId="0" fillId="0" fontId="1" numFmtId="0" xfId="0" applyAlignment="1" applyFont="1">
      <alignment horizontal="center" shrinkToFit="0" textRotation="0" vertical="center" wrapText="1"/>
    </xf>
    <xf borderId="24" fillId="0" fontId="1" numFmtId="0" xfId="0" applyAlignment="1" applyBorder="1" applyFont="1">
      <alignment horizontal="center" shrinkToFit="0" textRotation="0" vertical="center" wrapText="1"/>
    </xf>
    <xf borderId="25" fillId="0" fontId="2" numFmtId="0" xfId="0" applyBorder="1" applyFont="1"/>
    <xf borderId="26" fillId="0" fontId="2" numFmtId="0" xfId="0" applyBorder="1" applyFont="1"/>
    <xf borderId="16" fillId="0" fontId="3" numFmtId="0" xfId="0" applyAlignment="1" applyBorder="1" applyFont="1">
      <alignment horizontal="center" readingOrder="0" vertical="bottom"/>
    </xf>
    <xf borderId="16" fillId="0" fontId="3" numFmtId="0" xfId="0" applyAlignment="1" applyBorder="1" applyFont="1">
      <alignment horizontal="center" readingOrder="0" shrinkToFit="0" textRotation="0" vertical="center" wrapText="1"/>
    </xf>
    <xf borderId="24" fillId="0" fontId="3" numFmtId="0" xfId="0" applyAlignment="1" applyBorder="1" applyFont="1">
      <alignment horizontal="center" readingOrder="0" shrinkToFit="0" textRotation="0" vertical="center" wrapText="1"/>
    </xf>
    <xf borderId="16" fillId="0" fontId="1" numFmtId="0" xfId="0" applyAlignment="1" applyBorder="1" applyFont="1">
      <alignment horizontal="left" vertical="bottom"/>
    </xf>
    <xf borderId="16" fillId="9" fontId="1" numFmtId="0" xfId="0" applyAlignment="1" applyBorder="1" applyFill="1" applyFont="1">
      <alignment horizontal="center" readingOrder="0" shrinkToFit="0" textRotation="0" vertical="center" wrapText="1"/>
    </xf>
    <xf borderId="16" fillId="10" fontId="1" numFmtId="0" xfId="0" applyAlignment="1" applyBorder="1" applyFill="1" applyFont="1">
      <alignment horizontal="center" readingOrder="0" vertical="bottom"/>
    </xf>
    <xf borderId="16" fillId="11" fontId="1" numFmtId="0" xfId="0" applyAlignment="1" applyBorder="1" applyFill="1" applyFont="1">
      <alignment horizontal="center" readingOrder="0" shrinkToFit="0" textRotation="0" vertical="center" wrapText="1"/>
    </xf>
    <xf borderId="16" fillId="12" fontId="1" numFmtId="0" xfId="0" applyAlignment="1" applyBorder="1" applyFill="1" applyFont="1">
      <alignment horizontal="center" readingOrder="0" vertical="bottom"/>
    </xf>
    <xf borderId="16" fillId="13" fontId="1" numFmtId="0" xfId="0" applyAlignment="1" applyBorder="1" applyFill="1" applyFont="1">
      <alignment horizontal="center" readingOrder="0" shrinkToFit="0" textRotation="0" vertical="center" wrapText="1"/>
    </xf>
    <xf borderId="16" fillId="14" fontId="1" numFmtId="0" xfId="0" applyAlignment="1" applyBorder="1" applyFill="1" applyFont="1">
      <alignment horizontal="center" readingOrder="0" vertical="bottom"/>
    </xf>
    <xf borderId="16" fillId="15" fontId="1" numFmtId="0" xfId="0" applyAlignment="1" applyBorder="1" applyFill="1" applyFont="1">
      <alignment horizontal="center" readingOrder="0" shrinkToFit="0" textRotation="0" vertical="center" wrapText="1"/>
    </xf>
    <xf borderId="16" fillId="16" fontId="1" numFmtId="0" xfId="0" applyAlignment="1" applyBorder="1" applyFill="1" applyFont="1">
      <alignment horizontal="center" readingOrder="0" vertical="bottom"/>
    </xf>
    <xf borderId="16" fillId="17" fontId="1" numFmtId="0" xfId="0" applyAlignment="1" applyBorder="1" applyFill="1" applyFont="1">
      <alignment horizontal="center" readingOrder="0" shrinkToFit="0" textRotation="0" vertical="center" wrapText="1"/>
    </xf>
    <xf borderId="16" fillId="2" fontId="1" numFmtId="0" xfId="0" applyAlignment="1" applyBorder="1" applyFont="1">
      <alignment horizontal="center" readingOrder="0" vertical="bottom"/>
    </xf>
    <xf borderId="16" fillId="18" fontId="1" numFmtId="0" xfId="0" applyAlignment="1" applyBorder="1" applyFill="1" applyFont="1">
      <alignment horizontal="center" readingOrder="0" shrinkToFit="0" textRotation="0" vertical="center" wrapText="1"/>
    </xf>
    <xf borderId="16" fillId="3" fontId="1" numFmtId="0" xfId="0" applyAlignment="1" applyBorder="1" applyFont="1">
      <alignment horizontal="center" readingOrder="0" vertical="bottom"/>
    </xf>
    <xf borderId="16" fillId="19" fontId="1" numFmtId="0" xfId="0" applyAlignment="1" applyBorder="1" applyFill="1" applyFont="1">
      <alignment horizontal="center" readingOrder="0" shrinkToFit="0" textRotation="0" vertical="center" wrapText="1"/>
    </xf>
    <xf borderId="16" fillId="20" fontId="1" numFmtId="0" xfId="0" applyAlignment="1" applyBorder="1" applyFill="1" applyFont="1">
      <alignment horizontal="center" readingOrder="0" vertical="bottom"/>
    </xf>
    <xf borderId="16" fillId="21" fontId="1" numFmtId="0" xfId="0" applyAlignment="1" applyBorder="1" applyFill="1" applyFont="1">
      <alignment horizontal="center" readingOrder="0" shrinkToFit="0" textRotation="0" vertical="center" wrapText="1"/>
    </xf>
    <xf borderId="16" fillId="22" fontId="1" numFmtId="0" xfId="0" applyAlignment="1" applyBorder="1" applyFill="1" applyFont="1">
      <alignment horizontal="center" readingOrder="0" vertical="bottom"/>
    </xf>
    <xf borderId="16" fillId="23" fontId="1" numFmtId="0" xfId="0" applyAlignment="1" applyBorder="1" applyFill="1" applyFont="1">
      <alignment horizontal="center" readingOrder="0" shrinkToFit="0" textRotation="0" vertical="center" wrapText="1"/>
    </xf>
    <xf borderId="16" fillId="24" fontId="1" numFmtId="0" xfId="0" applyAlignment="1" applyBorder="1" applyFill="1" applyFont="1">
      <alignment horizontal="center" readingOrder="0" vertical="bottom"/>
    </xf>
    <xf borderId="16" fillId="25" fontId="1" numFmtId="0" xfId="0" applyAlignment="1" applyBorder="1" applyFill="1" applyFont="1">
      <alignment horizontal="center" readingOrder="0" shrinkToFit="0" textRotation="0" vertical="center" wrapText="1"/>
    </xf>
    <xf borderId="16" fillId="26" fontId="1" numFmtId="0" xfId="0" applyAlignment="1" applyBorder="1" applyFill="1" applyFont="1">
      <alignment horizontal="center" readingOrder="0" shrinkToFit="0" textRotation="0" vertical="center" wrapText="1"/>
    </xf>
    <xf borderId="16" fillId="27" fontId="1" numFmtId="0" xfId="0" applyAlignment="1" applyBorder="1" applyFill="1" applyFont="1">
      <alignment horizontal="center" readingOrder="0" shrinkToFit="0" textRotation="0" vertical="center" wrapText="1"/>
    </xf>
    <xf borderId="16" fillId="28" fontId="1" numFmtId="0" xfId="0" applyAlignment="1" applyBorder="1" applyFill="1" applyFont="1">
      <alignment horizontal="center" readingOrder="0" shrinkToFit="0" textRotation="0" vertical="center" wrapText="1"/>
    </xf>
    <xf borderId="16" fillId="29" fontId="1" numFmtId="0" xfId="0" applyAlignment="1" applyBorder="1" applyFill="1" applyFont="1">
      <alignment horizontal="center" readingOrder="0" shrinkToFit="0" textRotation="0" vertical="center" wrapText="1"/>
    </xf>
    <xf borderId="16" fillId="30" fontId="1" numFmtId="0" xfId="0" applyAlignment="1" applyBorder="1" applyFill="1" applyFont="1">
      <alignment horizontal="center" readingOrder="0" shrinkToFit="0" textRotation="0" vertical="center" wrapText="1"/>
    </xf>
    <xf borderId="0" fillId="6" fontId="1" numFmtId="0" xfId="0" applyAlignment="1" applyFont="1">
      <alignment horizontal="center" readingOrder="0" shrinkToFit="0" vertical="bottom" wrapText="1"/>
    </xf>
    <xf borderId="11" fillId="0" fontId="1" numFmtId="0" xfId="0" applyAlignment="1" applyBorder="1" applyFont="1">
      <alignment horizontal="center" readingOrder="0" shrinkToFit="0" vertical="bottom" wrapText="1"/>
    </xf>
    <xf borderId="19" fillId="4" fontId="18" numFmtId="0" xfId="0" applyAlignment="1" applyBorder="1" applyFont="1">
      <alignment readingOrder="0" shrinkToFit="0" vertical="bottom" wrapText="1"/>
    </xf>
    <xf borderId="4" fillId="7" fontId="1" numFmtId="0" xfId="0" applyAlignment="1" applyBorder="1" applyFont="1">
      <alignment horizontal="center" readingOrder="0" vertical="bottom"/>
    </xf>
    <xf borderId="0" fillId="0" fontId="1" numFmtId="0" xfId="0" applyAlignment="1" applyFont="1">
      <alignment horizontal="center" readingOrder="0" shrinkToFit="0" vertical="bottom" wrapText="1"/>
    </xf>
    <xf borderId="0" fillId="0" fontId="1" numFmtId="0" xfId="0" applyAlignment="1" applyFont="1">
      <alignment horizontal="center" readingOrder="0"/>
    </xf>
    <xf borderId="4" fillId="7" fontId="13" numFmtId="0" xfId="0" applyAlignment="1" applyBorder="1" applyFont="1">
      <alignment horizontal="center" readingOrder="0"/>
    </xf>
    <xf borderId="22" fillId="7" fontId="1" numFmtId="0" xfId="0" applyAlignment="1" applyBorder="1" applyFont="1">
      <alignment horizontal="center" vertical="bottom"/>
    </xf>
    <xf borderId="4" fillId="10" fontId="11" numFmtId="0" xfId="0" applyAlignment="1" applyBorder="1" applyFont="1">
      <alignment horizontal="center" readingOrder="0"/>
    </xf>
    <xf borderId="4" fillId="10" fontId="10" numFmtId="0" xfId="0" applyAlignment="1" applyBorder="1" applyFont="1">
      <alignment horizontal="center" readingOrder="0"/>
    </xf>
    <xf borderId="2" fillId="0" fontId="1" numFmtId="0" xfId="0" applyAlignment="1" applyBorder="1" applyFont="1">
      <alignment horizontal="left" vertical="bottom"/>
    </xf>
    <xf borderId="19" fillId="0" fontId="17" numFmtId="0" xfId="0" applyAlignment="1" applyBorder="1" applyFont="1">
      <alignment horizontal="center" readingOrder="0" shrinkToFit="0" textRotation="0" vertical="center" wrapText="1"/>
    </xf>
    <xf borderId="0" fillId="0" fontId="1" numFmtId="0" xfId="0" applyAlignment="1" applyFont="1">
      <alignment horizontal="center" readingOrder="0" vertical="center"/>
    </xf>
    <xf borderId="16" fillId="31" fontId="1" numFmtId="0" xfId="0" applyAlignment="1" applyBorder="1" applyFill="1" applyFont="1">
      <alignment horizontal="center" readingOrder="0" vertical="bottom"/>
    </xf>
    <xf borderId="0" fillId="7" fontId="13" numFmtId="0" xfId="0" applyAlignment="1" applyFont="1">
      <alignment horizontal="center" readingOrder="0" vertical="center"/>
    </xf>
    <xf borderId="27" fillId="0" fontId="1" numFmtId="0" xfId="0" applyAlignment="1" applyBorder="1" applyFont="1">
      <alignment horizontal="center" readingOrder="0" vertical="center"/>
    </xf>
    <xf borderId="0" fillId="7" fontId="19" numFmtId="0" xfId="0" applyAlignment="1" applyFont="1">
      <alignment horizontal="center" readingOrder="0" shrinkToFit="0" vertical="center" wrapText="1"/>
    </xf>
    <xf borderId="19" fillId="0" fontId="2" numFmtId="0" xfId="0" applyBorder="1" applyFont="1"/>
    <xf borderId="28" fillId="0" fontId="2" numFmtId="0" xfId="0" applyBorder="1" applyFont="1"/>
    <xf borderId="19" fillId="0" fontId="1" numFmtId="0" xfId="0" applyAlignment="1" applyBorder="1" applyFont="1">
      <alignment horizontal="center" readingOrder="0" vertical="center"/>
    </xf>
    <xf borderId="16" fillId="31" fontId="19" numFmtId="0" xfId="0" applyAlignment="1" applyBorder="1" applyFont="1">
      <alignment horizontal="center" readingOrder="0" shrinkToFit="0" vertical="center" wrapText="1"/>
    </xf>
    <xf borderId="0" fillId="7" fontId="9" numFmtId="0" xfId="0" applyAlignment="1" applyFont="1">
      <alignment horizontal="center" readingOrder="0" vertical="center"/>
    </xf>
    <xf borderId="4" fillId="7" fontId="9" numFmtId="0" xfId="0" applyAlignment="1" applyBorder="1" applyFont="1">
      <alignment horizontal="center" readingOrder="0" vertical="center"/>
    </xf>
    <xf borderId="7" fillId="7" fontId="1" numFmtId="0" xfId="0" applyAlignment="1" applyBorder="1" applyFont="1">
      <alignment horizontal="center" vertical="bottom"/>
    </xf>
    <xf borderId="21" fillId="7" fontId="16" numFmtId="0" xfId="0" applyAlignment="1" applyBorder="1" applyFont="1">
      <alignment horizontal="center" readingOrder="0" vertical="center"/>
    </xf>
    <xf borderId="4" fillId="7" fontId="20" numFmtId="0" xfId="0" applyAlignment="1" applyBorder="1" applyFont="1">
      <alignment horizontal="center" readingOrder="0" vertical="center"/>
    </xf>
    <xf borderId="0" fillId="7" fontId="13" numFmtId="0" xfId="0" applyAlignment="1" applyFont="1">
      <alignment horizontal="center" readingOrder="0"/>
    </xf>
    <xf borderId="16" fillId="7" fontId="19" numFmtId="0" xfId="0" applyAlignment="1" applyBorder="1" applyFont="1">
      <alignment horizontal="center" readingOrder="0" shrinkToFit="0" vertical="center" wrapText="1"/>
    </xf>
    <xf borderId="0" fillId="0" fontId="1" numFmtId="0" xfId="0" applyAlignment="1" applyFont="1">
      <alignment horizontal="center" readingOrder="0" vertical="bottom"/>
    </xf>
    <xf borderId="0" fillId="0" fontId="1" numFmtId="0" xfId="0" applyAlignment="1" applyFont="1">
      <alignment horizontal="center" readingOrder="0" vertical="center"/>
    </xf>
    <xf borderId="24" fillId="7" fontId="19" numFmtId="0" xfId="0" applyAlignment="1" applyBorder="1" applyFont="1">
      <alignment horizontal="center" readingOrder="0" shrinkToFit="0" vertical="center" wrapText="1"/>
    </xf>
    <xf borderId="24" fillId="31" fontId="19" numFmtId="0" xfId="0" applyAlignment="1" applyBorder="1" applyFont="1">
      <alignment horizontal="center" readingOrder="0" shrinkToFit="0" vertical="center" wrapText="1"/>
    </xf>
    <xf borderId="29" fillId="0" fontId="1" numFmtId="0" xfId="0" applyAlignment="1" applyBorder="1" applyFont="1">
      <alignment horizontal="center" vertical="bottom"/>
    </xf>
    <xf borderId="29" fillId="7" fontId="19" numFmtId="0" xfId="0" applyAlignment="1" applyBorder="1" applyFont="1">
      <alignment horizontal="left" readingOrder="0" shrinkToFit="0" vertical="center" wrapText="1"/>
    </xf>
    <xf borderId="0" fillId="7" fontId="10" numFmtId="0" xfId="0" applyAlignment="1" applyFont="1">
      <alignment horizontal="center" readingOrder="0" vertical="center"/>
    </xf>
    <xf borderId="17" fillId="0" fontId="1" numFmtId="0" xfId="0" applyAlignment="1" applyBorder="1" applyFont="1">
      <alignment horizontal="center" readingOrder="0" vertical="center"/>
    </xf>
    <xf borderId="16" fillId="31" fontId="18" numFmtId="0" xfId="0" applyAlignment="1" applyBorder="1" applyFont="1">
      <alignment horizontal="center" readingOrder="0" shrinkToFit="0" vertical="bottom" wrapText="1"/>
    </xf>
    <xf borderId="16" fillId="0" fontId="18" numFmtId="0" xfId="0" applyAlignment="1" applyBorder="1" applyFont="1">
      <alignment horizontal="center" readingOrder="0" shrinkToFit="0" vertical="bottom" wrapText="1"/>
    </xf>
    <xf borderId="20" fillId="0" fontId="18" numFmtId="0" xfId="0" applyAlignment="1" applyBorder="1" applyFont="1">
      <alignment horizontal="center" readingOrder="0" shrinkToFit="0" vertical="bottom" wrapText="1"/>
    </xf>
    <xf borderId="20" fillId="7" fontId="19" numFmtId="0" xfId="0" applyAlignment="1" applyBorder="1" applyFont="1">
      <alignment horizontal="center" readingOrder="0" shrinkToFit="0" vertical="center" wrapText="1"/>
    </xf>
    <xf borderId="11" fillId="2" fontId="1" numFmtId="0" xfId="0" applyAlignment="1" applyBorder="1" applyFont="1">
      <alignment horizontal="center" readingOrder="0" vertical="bottom"/>
    </xf>
    <xf borderId="16" fillId="31" fontId="19" numFmtId="0" xfId="0" applyAlignment="1" applyBorder="1" applyFont="1">
      <alignment horizontal="center" shrinkToFit="0" wrapText="1"/>
    </xf>
    <xf borderId="20" fillId="7" fontId="19" numFmtId="0" xfId="0" applyAlignment="1" applyBorder="1" applyFont="1">
      <alignment horizontal="center" shrinkToFit="0" wrapText="1"/>
    </xf>
    <xf borderId="11" fillId="32" fontId="1" numFmtId="0" xfId="0" applyAlignment="1" applyBorder="1" applyFill="1" applyFont="1">
      <alignment horizontal="center" readingOrder="0" vertical="bottom"/>
    </xf>
    <xf borderId="0" fillId="7" fontId="1" numFmtId="0" xfId="0" applyAlignment="1" applyFont="1">
      <alignment horizontal="center" readingOrder="0"/>
    </xf>
    <xf borderId="16" fillId="0" fontId="1" numFmtId="0" xfId="0" applyAlignment="1" applyBorder="1" applyFont="1">
      <alignment horizontal="center" readingOrder="0" shrinkToFit="0" wrapText="1"/>
    </xf>
    <xf borderId="4" fillId="10" fontId="1" numFmtId="0" xfId="0" applyAlignment="1" applyBorder="1" applyFont="1">
      <alignment horizontal="center" readingOrder="0" vertical="bottom"/>
    </xf>
    <xf borderId="4" fillId="10" fontId="21" numFmtId="0" xfId="0" applyAlignment="1" applyBorder="1" applyFont="1">
      <alignment horizontal="center" readingOrder="0" vertical="bottom"/>
    </xf>
    <xf borderId="11" fillId="7" fontId="1" numFmtId="0" xfId="0" applyAlignment="1" applyBorder="1" applyFont="1">
      <alignment horizontal="center" readingOrder="0" vertical="bottom"/>
    </xf>
    <xf borderId="11" fillId="0" fontId="1" numFmtId="0" xfId="0" applyAlignment="1" applyBorder="1" applyFont="1">
      <alignment horizontal="center" readingOrder="0" shrinkToFit="0" vertical="bottom" wrapText="1"/>
    </xf>
    <xf borderId="16" fillId="31" fontId="4" numFmtId="0" xfId="0" applyAlignment="1" applyBorder="1" applyFont="1">
      <alignment horizontal="center" readingOrder="0" shrinkToFit="0" vertical="bottom" wrapText="1"/>
    </xf>
    <xf borderId="11" fillId="0" fontId="22" numFmtId="0" xfId="0" applyAlignment="1" applyBorder="1" applyFont="1">
      <alignment horizontal="center" readingOrder="0" vertical="bottom"/>
    </xf>
    <xf quotePrefix="1" borderId="16" fillId="0" fontId="1" numFmtId="0" xfId="0" applyAlignment="1" applyBorder="1" applyFont="1">
      <alignment horizontal="center" readingOrder="0"/>
    </xf>
    <xf borderId="16" fillId="31" fontId="1" numFmtId="0" xfId="0" applyAlignment="1" applyBorder="1" applyFont="1">
      <alignment horizontal="center" readingOrder="0" shrinkToFit="0" wrapText="1"/>
    </xf>
    <xf borderId="15" fillId="0" fontId="23" numFmtId="0" xfId="0" applyAlignment="1" applyBorder="1" applyFont="1">
      <alignment horizontal="center" readingOrder="0" vertical="center"/>
    </xf>
    <xf borderId="5" fillId="7" fontId="1" numFmtId="0" xfId="0" applyAlignment="1" applyBorder="1" applyFont="1">
      <alignment horizontal="center" vertical="bottom"/>
    </xf>
    <xf borderId="16" fillId="0" fontId="1" numFmtId="0" xfId="0" applyAlignment="1" applyBorder="1" applyFont="1">
      <alignment horizontal="left" readingOrder="0" vertical="bottom"/>
    </xf>
    <xf borderId="16" fillId="0" fontId="1" numFmtId="0" xfId="0" applyAlignment="1" applyBorder="1" applyFont="1">
      <alignment horizontal="center" readingOrder="0" shrinkToFit="0" vertical="center" wrapText="1"/>
    </xf>
    <xf borderId="15" fillId="0" fontId="18" numFmtId="0" xfId="0" applyAlignment="1" applyBorder="1" applyFont="1">
      <alignment horizontal="center" readingOrder="0" vertical="center"/>
    </xf>
    <xf borderId="17" fillId="33" fontId="18" numFmtId="0" xfId="0" applyAlignment="1" applyBorder="1" applyFill="1" applyFont="1">
      <alignment horizontal="center" shrinkToFit="0" wrapText="1"/>
    </xf>
    <xf borderId="11" fillId="0" fontId="1" numFmtId="0" xfId="0" applyAlignment="1" applyBorder="1" applyFont="1">
      <alignment horizontal="center" readingOrder="0" shrinkToFit="0" vertical="top" wrapText="1"/>
    </xf>
    <xf borderId="0" fillId="7" fontId="1" numFmtId="0" xfId="0" applyAlignment="1" applyFont="1">
      <alignment horizontal="center" readingOrder="0" vertical="bottom"/>
    </xf>
    <xf borderId="17" fillId="33" fontId="18" numFmtId="0" xfId="0" applyAlignment="1" applyBorder="1" applyFont="1">
      <alignment horizontal="center" readingOrder="0" shrinkToFit="0" wrapText="1"/>
    </xf>
    <xf borderId="17" fillId="33" fontId="18" numFmtId="0" xfId="0" applyAlignment="1" applyBorder="1" applyFont="1">
      <alignment horizontal="center" shrinkToFit="0" vertical="bottom" wrapText="1"/>
    </xf>
    <xf borderId="4" fillId="34" fontId="1" numFmtId="0" xfId="0" applyAlignment="1" applyBorder="1" applyFill="1" applyFont="1">
      <alignment horizontal="center" readingOrder="0" vertical="bottom"/>
    </xf>
    <xf borderId="17" fillId="7" fontId="18" numFmtId="0" xfId="0" applyAlignment="1" applyBorder="1" applyFont="1">
      <alignment horizontal="center" readingOrder="0" shrinkToFit="0" vertical="bottom" wrapText="1"/>
    </xf>
    <xf borderId="17" fillId="7" fontId="18" numFmtId="0" xfId="0" applyAlignment="1" applyBorder="1" applyFont="1">
      <alignment horizontal="center" readingOrder="0" shrinkToFit="0" wrapText="1"/>
    </xf>
    <xf borderId="17" fillId="7" fontId="18" numFmtId="0" xfId="0" applyAlignment="1" applyBorder="1" applyFont="1">
      <alignment horizontal="center" shrinkToFit="0" vertical="bottom" wrapText="1"/>
    </xf>
    <xf borderId="17" fillId="0" fontId="18" numFmtId="0" xfId="0" applyAlignment="1" applyBorder="1" applyFont="1">
      <alignment horizontal="center" readingOrder="0" shrinkToFit="0" wrapText="1"/>
    </xf>
    <xf borderId="4" fillId="3" fontId="1" numFmtId="0" xfId="0" applyAlignment="1" applyBorder="1" applyFont="1">
      <alignment horizontal="center" readingOrder="0" vertical="bottom"/>
    </xf>
    <xf borderId="17" fillId="0" fontId="18" numFmtId="0" xfId="0" applyAlignment="1" applyBorder="1" applyFont="1">
      <alignment horizontal="center" shrinkToFit="0" wrapText="1"/>
    </xf>
    <xf borderId="20" fillId="0" fontId="18" numFmtId="0" xfId="0" applyAlignment="1" applyBorder="1" applyFont="1">
      <alignment horizontal="center" shrinkToFit="0" wrapText="1"/>
    </xf>
    <xf borderId="15" fillId="0" fontId="18" numFmtId="0" xfId="0" applyAlignment="1" applyBorder="1" applyFont="1">
      <alignment horizontal="center" readingOrder="0" shrinkToFit="0" vertical="center" wrapText="1"/>
    </xf>
    <xf borderId="19" fillId="0" fontId="18" numFmtId="0" xfId="0" applyAlignment="1" applyBorder="1" applyFont="1">
      <alignment horizontal="center" readingOrder="0" shrinkToFit="0" wrapText="1"/>
    </xf>
    <xf quotePrefix="1" borderId="17" fillId="0" fontId="1" numFmtId="0" xfId="0" applyAlignment="1" applyBorder="1" applyFont="1">
      <alignment horizontal="center" readingOrder="0"/>
    </xf>
    <xf borderId="11" fillId="0" fontId="2" numFmtId="0" xfId="0" applyBorder="1" applyFont="1"/>
    <xf quotePrefix="1" borderId="17" fillId="0" fontId="1" numFmtId="0" xfId="0" applyAlignment="1" applyBorder="1" applyFont="1">
      <alignment horizontal="center" readingOrder="0" shrinkToFit="0" wrapText="1"/>
    </xf>
    <xf borderId="29" fillId="0" fontId="18" numFmtId="0" xfId="0" applyAlignment="1" applyBorder="1" applyFont="1">
      <alignment horizontal="center" readingOrder="0" shrinkToFit="0" vertical="center" wrapText="1"/>
    </xf>
    <xf borderId="15" fillId="0" fontId="18" numFmtId="0" xfId="0" applyAlignment="1" applyBorder="1" applyFont="1">
      <alignment horizontal="center" readingOrder="0" shrinkToFit="0" wrapText="1"/>
    </xf>
    <xf borderId="30" fillId="0" fontId="2" numFmtId="0" xfId="0" applyBorder="1" applyFont="1"/>
    <xf borderId="20" fillId="0" fontId="18" numFmtId="0" xfId="0" applyAlignment="1" applyBorder="1" applyFont="1">
      <alignment horizontal="center" readingOrder="0" shrinkToFit="0" wrapText="1"/>
    </xf>
    <xf borderId="16" fillId="0" fontId="1" numFmtId="0" xfId="0" applyBorder="1" applyFont="1"/>
    <xf borderId="20" fillId="31" fontId="19" numFmtId="0" xfId="0" applyAlignment="1" applyBorder="1" applyFont="1">
      <alignment horizontal="center" readingOrder="0" shrinkToFit="0" wrapText="1"/>
    </xf>
    <xf borderId="16" fillId="31" fontId="19" numFmtId="0" xfId="0" applyAlignment="1" applyBorder="1" applyFont="1">
      <alignment horizontal="center" readingOrder="0" shrinkToFit="0" wrapText="1"/>
    </xf>
    <xf borderId="16" fillId="0" fontId="19" numFmtId="0" xfId="0" applyAlignment="1" applyBorder="1" applyFont="1">
      <alignment horizontal="center" readingOrder="0" shrinkToFit="0" wrapText="1"/>
    </xf>
    <xf borderId="16" fillId="7" fontId="19" numFmtId="0" xfId="0" applyAlignment="1" applyBorder="1" applyFont="1">
      <alignment horizontal="center" readingOrder="0"/>
    </xf>
    <xf borderId="16" fillId="31" fontId="24" numFmtId="0" xfId="0" applyAlignment="1" applyBorder="1" applyFont="1">
      <alignment horizontal="center" readingOrder="0"/>
    </xf>
    <xf borderId="22" fillId="7" fontId="1" numFmtId="0" xfId="0" applyAlignment="1" applyBorder="1" applyFont="1">
      <alignment horizontal="center" readingOrder="0" vertical="bottom"/>
    </xf>
    <xf borderId="9" fillId="0" fontId="1" numFmtId="0" xfId="0" applyAlignment="1" applyBorder="1" applyFont="1">
      <alignment horizontal="left" vertical="bottom"/>
    </xf>
    <xf borderId="13" fillId="5" fontId="3" numFmtId="0" xfId="0" applyAlignment="1" applyBorder="1" applyFont="1">
      <alignment horizontal="left" readingOrder="0" vertical="bottom"/>
    </xf>
    <xf borderId="16" fillId="31" fontId="1" numFmtId="0" xfId="0" applyAlignment="1" applyBorder="1" applyFont="1">
      <alignment horizontal="left" readingOrder="0" vertical="bottom"/>
    </xf>
    <xf borderId="0" fillId="7" fontId="19" numFmtId="0" xfId="0" applyAlignment="1" applyFont="1">
      <alignment horizontal="left" readingOrder="0" shrinkToFit="0" vertical="center" wrapText="1"/>
    </xf>
    <xf borderId="16" fillId="31" fontId="19" numFmtId="0" xfId="0" applyAlignment="1" applyBorder="1" applyFont="1">
      <alignment horizontal="left" readingOrder="0" shrinkToFit="0" vertical="center" wrapText="1"/>
    </xf>
    <xf borderId="16" fillId="0" fontId="1" numFmtId="0" xfId="0" applyAlignment="1" applyBorder="1" applyFont="1">
      <alignment horizontal="left" readingOrder="0" shrinkToFit="0" vertical="center" wrapText="1"/>
    </xf>
    <xf borderId="16" fillId="7" fontId="19" numFmtId="0" xfId="0" applyAlignment="1" applyBorder="1" applyFont="1">
      <alignment horizontal="left" readingOrder="0" shrinkToFit="0" vertical="center" wrapText="1"/>
    </xf>
    <xf borderId="24" fillId="31" fontId="19" numFmtId="0" xfId="0" applyAlignment="1" applyBorder="1" applyFont="1">
      <alignment horizontal="left" readingOrder="0" shrinkToFit="0" vertical="center" wrapText="1"/>
    </xf>
    <xf borderId="16" fillId="31" fontId="18" numFmtId="0" xfId="0" applyAlignment="1" applyBorder="1" applyFont="1">
      <alignment readingOrder="0" shrinkToFit="0" vertical="bottom" wrapText="1"/>
    </xf>
    <xf borderId="16" fillId="0" fontId="18" numFmtId="0" xfId="0" applyAlignment="1" applyBorder="1" applyFont="1">
      <alignment readingOrder="0" shrinkToFit="0" vertical="bottom" wrapText="1"/>
    </xf>
    <xf borderId="20" fillId="0" fontId="18" numFmtId="0" xfId="0" applyAlignment="1" applyBorder="1" applyFont="1">
      <alignment readingOrder="0" shrinkToFit="0" vertical="bottom" wrapText="1"/>
    </xf>
    <xf borderId="16" fillId="31" fontId="19" numFmtId="0" xfId="0" applyAlignment="1" applyBorder="1" applyFont="1">
      <alignment shrinkToFit="0" wrapText="1"/>
    </xf>
    <xf borderId="20" fillId="7" fontId="19" numFmtId="0" xfId="0" applyAlignment="1" applyBorder="1" applyFont="1">
      <alignment shrinkToFit="0" wrapText="1"/>
    </xf>
    <xf borderId="16" fillId="0" fontId="4" numFmtId="0" xfId="0" applyAlignment="1" applyBorder="1" applyFont="1">
      <alignment horizontal="left" readingOrder="0" shrinkToFit="0" vertical="bottom" wrapText="1"/>
    </xf>
    <xf borderId="16" fillId="0" fontId="1" numFmtId="0" xfId="0" applyAlignment="1" applyBorder="1" applyFont="1">
      <alignment horizontal="left" readingOrder="0"/>
    </xf>
    <xf quotePrefix="1" borderId="16" fillId="0" fontId="1" numFmtId="0" xfId="0" applyAlignment="1" applyBorder="1" applyFont="1">
      <alignment horizontal="left" readingOrder="0"/>
    </xf>
    <xf borderId="16" fillId="0" fontId="1" numFmtId="0" xfId="0" applyAlignment="1" applyBorder="1" applyFont="1">
      <alignment horizontal="left" readingOrder="0" shrinkToFit="0" wrapText="1"/>
    </xf>
    <xf borderId="16" fillId="0" fontId="1" numFmtId="0" xfId="0" applyAlignment="1" applyBorder="1" applyFont="1">
      <alignment horizontal="left" readingOrder="0" vertical="center"/>
    </xf>
    <xf borderId="16" fillId="0" fontId="1" numFmtId="0" xfId="0" applyAlignment="1" applyBorder="1" applyFont="1">
      <alignment horizontal="left" readingOrder="0" shrinkToFit="0" vertical="bottom" wrapText="1"/>
    </xf>
    <xf borderId="16" fillId="0" fontId="1" numFmtId="0" xfId="0" applyAlignment="1" applyBorder="1" applyFont="1">
      <alignment readingOrder="0" vertical="center"/>
    </xf>
    <xf borderId="16" fillId="0" fontId="1" numFmtId="0" xfId="0" applyAlignment="1" applyBorder="1" applyFont="1">
      <alignment readingOrder="0" shrinkToFit="0" vertical="center" wrapText="1"/>
    </xf>
    <xf borderId="16" fillId="0" fontId="1" numFmtId="0" xfId="0" applyAlignment="1" applyBorder="1" applyFont="1">
      <alignment readingOrder="0" shrinkToFit="0" vertical="center" wrapText="1"/>
    </xf>
    <xf borderId="16" fillId="7" fontId="19" numFmtId="0" xfId="0" applyAlignment="1" applyBorder="1" applyFont="1">
      <alignment horizontal="left" readingOrder="0" shrinkToFit="0" wrapText="1"/>
    </xf>
    <xf borderId="16" fillId="31" fontId="24" numFmtId="0" xfId="0" applyAlignment="1" applyBorder="1" applyFont="1">
      <alignment horizontal="left" readingOrder="0"/>
    </xf>
    <xf borderId="16" fillId="31" fontId="19" numFmtId="0" xfId="0" applyAlignment="1" applyBorder="1" applyFont="1">
      <alignment horizontal="left" readingOrder="0" shrinkToFit="0" wrapText="1"/>
    </xf>
    <xf borderId="16" fillId="0" fontId="1" numFmtId="0" xfId="0" applyAlignment="1" applyBorder="1" applyFont="1">
      <alignment horizontal="left" shrinkToFit="0" vertical="bottom" wrapText="1"/>
    </xf>
    <xf borderId="16" fillId="0" fontId="19" numFmtId="0" xfId="0" applyAlignment="1" applyBorder="1" applyFont="1">
      <alignment horizontal="left" readingOrder="0" shrinkToFit="0" wrapText="1"/>
    </xf>
    <xf borderId="16" fillId="7" fontId="19" numFmtId="0" xfId="0" applyAlignment="1" applyBorder="1" applyFont="1">
      <alignment horizontal="left" readingOrder="0"/>
    </xf>
    <xf borderId="0" fillId="7" fontId="1" numFmtId="0" xfId="0" applyFont="1"/>
    <xf borderId="23" fillId="0" fontId="18" numFmtId="0" xfId="0" applyAlignment="1" applyBorder="1" applyFont="1">
      <alignment horizontal="center"/>
    </xf>
    <xf borderId="16" fillId="0" fontId="3" numFmtId="0" xfId="0" applyAlignment="1" applyBorder="1" applyFont="1">
      <alignment horizontal="left" readingOrder="0" vertical="bottom"/>
    </xf>
    <xf borderId="1" fillId="0" fontId="1" numFmtId="0" xfId="0" applyAlignment="1" applyBorder="1" applyFont="1">
      <alignment horizontal="center" shrinkToFit="0" vertical="bottom" wrapText="1"/>
    </xf>
    <xf borderId="8" fillId="0" fontId="1" numFmtId="0" xfId="0" applyAlignment="1" applyBorder="1" applyFont="1">
      <alignment horizontal="center" vertical="bottom"/>
    </xf>
    <xf borderId="8" fillId="0" fontId="3" numFmtId="0" xfId="0" applyAlignment="1" applyBorder="1" applyFont="1">
      <alignment horizontal="center" readingOrder="0" vertical="bottom"/>
    </xf>
    <xf borderId="10" fillId="0" fontId="1" numFmtId="0" xfId="0" applyAlignment="1" applyBorder="1" applyFont="1">
      <alignment horizontal="center" vertical="bottom"/>
    </xf>
    <xf borderId="12" fillId="5" fontId="3" numFmtId="0" xfId="0" applyAlignment="1" applyBorder="1" applyFont="1">
      <alignment horizontal="center" readingOrder="0" vertical="bottom"/>
    </xf>
    <xf borderId="31" fillId="0" fontId="17" numFmtId="0" xfId="0" applyAlignment="1" applyBorder="1" applyFont="1">
      <alignment horizontal="center" readingOrder="0" textRotation="90" vertical="center"/>
    </xf>
    <xf borderId="32" fillId="0" fontId="1" numFmtId="0" xfId="0" applyAlignment="1" applyBorder="1" applyFont="1">
      <alignment horizontal="center" vertical="bottom"/>
    </xf>
    <xf borderId="27" fillId="31" fontId="19" numFmtId="0" xfId="0" applyAlignment="1" applyBorder="1" applyFont="1">
      <alignment readingOrder="0" shrinkToFit="0" vertical="center" wrapText="1"/>
    </xf>
    <xf borderId="0" fillId="7" fontId="20" numFmtId="0" xfId="0" applyAlignment="1" applyFont="1">
      <alignment horizontal="center" readingOrder="0" vertical="center"/>
    </xf>
    <xf borderId="29" fillId="0" fontId="2" numFmtId="0" xfId="0" applyBorder="1" applyFont="1"/>
    <xf borderId="19" fillId="31" fontId="19" numFmtId="0" xfId="0" applyAlignment="1" applyBorder="1" applyFont="1">
      <alignment readingOrder="0" shrinkToFit="0" vertical="center" wrapText="1"/>
    </xf>
    <xf borderId="19" fillId="0" fontId="1" numFmtId="0" xfId="0" applyAlignment="1" applyBorder="1" applyFont="1">
      <alignment horizontal="center" shrinkToFit="0" vertical="center" wrapText="1"/>
    </xf>
    <xf borderId="29" fillId="0" fontId="17" numFmtId="0" xfId="0" applyAlignment="1" applyBorder="1" applyFont="1">
      <alignment horizontal="center" readingOrder="0" textRotation="90" vertical="center"/>
    </xf>
    <xf borderId="19" fillId="0" fontId="4" numFmtId="0" xfId="0" applyAlignment="1" applyBorder="1" applyFont="1">
      <alignment readingOrder="0" shrinkToFit="0" vertical="bottom" wrapText="1"/>
    </xf>
    <xf borderId="19" fillId="0" fontId="1" numFmtId="0" xfId="0" applyAlignment="1" applyBorder="1" applyFont="1">
      <alignment readingOrder="0"/>
    </xf>
    <xf quotePrefix="1" borderId="19" fillId="0" fontId="1" numFmtId="0" xfId="0" applyAlignment="1" applyBorder="1" applyFont="1">
      <alignment readingOrder="0"/>
    </xf>
    <xf borderId="19" fillId="0" fontId="1" numFmtId="0" xfId="0" applyBorder="1" applyFont="1"/>
    <xf borderId="19" fillId="31" fontId="1" numFmtId="0" xfId="0" applyAlignment="1" applyBorder="1" applyFont="1">
      <alignment horizontal="center" readingOrder="0" vertical="bottom"/>
    </xf>
    <xf borderId="19" fillId="0" fontId="1" numFmtId="0" xfId="0" applyAlignment="1" applyBorder="1" applyFont="1">
      <alignment horizontal="center" readingOrder="0" vertical="bottom"/>
    </xf>
    <xf borderId="19" fillId="0" fontId="1" numFmtId="0" xfId="0" applyAlignment="1" applyBorder="1" applyFont="1">
      <alignment horizontal="center" readingOrder="0" shrinkToFit="0" vertical="center" wrapText="1"/>
    </xf>
    <xf borderId="0" fillId="7" fontId="16" numFmtId="0" xfId="0" applyAlignment="1" applyFont="1">
      <alignment horizontal="center" readingOrder="0" vertical="center"/>
    </xf>
    <xf borderId="0" fillId="0" fontId="1" numFmtId="0" xfId="0" applyAlignment="1" applyFont="1">
      <alignment horizontal="center" readingOrder="0" shrinkToFit="0" vertical="center" wrapText="1"/>
    </xf>
    <xf borderId="19" fillId="0" fontId="1" numFmtId="0" xfId="0" applyAlignment="1" applyBorder="1" applyFont="1">
      <alignment horizontal="center" readingOrder="0" shrinkToFit="0" vertical="bottom" wrapText="1"/>
    </xf>
    <xf borderId="19" fillId="0" fontId="1" numFmtId="0" xfId="0" applyAlignment="1" applyBorder="1" applyFont="1">
      <alignment horizontal="center" vertical="bottom"/>
    </xf>
    <xf borderId="19" fillId="0" fontId="1" numFmtId="0" xfId="0" applyAlignment="1" applyBorder="1" applyFont="1">
      <alignment horizontal="center" shrinkToFit="0" vertical="bottom" wrapText="1"/>
    </xf>
    <xf borderId="19" fillId="31" fontId="19" numFmtId="0" xfId="0" applyAlignment="1" applyBorder="1" applyFont="1">
      <alignment readingOrder="0" shrinkToFit="0" wrapText="1"/>
    </xf>
    <xf borderId="4" fillId="0" fontId="1" numFmtId="0" xfId="0" applyAlignment="1" applyBorder="1" applyFont="1">
      <alignment horizontal="center" readingOrder="0" vertical="bottom"/>
    </xf>
    <xf borderId="0" fillId="31" fontId="19" numFmtId="0" xfId="0" applyAlignment="1" applyFont="1">
      <alignment readingOrder="0" shrinkToFit="0" wrapText="1"/>
    </xf>
    <xf borderId="29" fillId="0" fontId="17" numFmtId="0" xfId="0" applyAlignment="1" applyBorder="1" applyFont="1">
      <alignment horizontal="center" readingOrder="0" shrinkToFit="0" textRotation="90" vertical="bottom" wrapText="1"/>
    </xf>
    <xf borderId="7" fillId="0" fontId="1" numFmtId="0" xfId="0" applyAlignment="1" applyBorder="1" applyFont="1">
      <alignment horizontal="center" vertical="bottom"/>
    </xf>
    <xf borderId="24" fillId="0" fontId="1" numFmtId="0" xfId="0" applyAlignment="1" applyBorder="1" applyFont="1">
      <alignment horizontal="center" vertical="bottom"/>
    </xf>
    <xf borderId="24" fillId="0" fontId="3" numFmtId="0" xfId="0" applyAlignment="1" applyBorder="1" applyFont="1">
      <alignment horizontal="center" readingOrder="0" vertical="bottom"/>
    </xf>
    <xf borderId="16" fillId="9" fontId="1" numFmtId="0" xfId="0" applyAlignment="1" applyBorder="1" applyFont="1">
      <alignment horizontal="center" readingOrder="0" vertical="bottom"/>
    </xf>
    <xf borderId="16" fillId="11" fontId="1" numFmtId="0" xfId="0" applyAlignment="1" applyBorder="1" applyFont="1">
      <alignment horizontal="center" readingOrder="0" vertical="bottom"/>
    </xf>
    <xf borderId="16" fillId="13" fontId="1" numFmtId="0" xfId="0" applyAlignment="1" applyBorder="1" applyFont="1">
      <alignment horizontal="center" readingOrder="0" vertical="bottom"/>
    </xf>
    <xf borderId="16" fillId="15" fontId="1" numFmtId="0" xfId="0" applyAlignment="1" applyBorder="1" applyFont="1">
      <alignment horizontal="center" readingOrder="0" vertical="bottom"/>
    </xf>
    <xf borderId="16" fillId="17" fontId="1" numFmtId="0" xfId="0" applyAlignment="1" applyBorder="1" applyFont="1">
      <alignment horizontal="center" readingOrder="0" vertical="bottom"/>
    </xf>
    <xf borderId="16" fillId="18" fontId="1" numFmtId="0" xfId="0" applyAlignment="1" applyBorder="1" applyFont="1">
      <alignment horizontal="center" readingOrder="0" vertical="bottom"/>
    </xf>
    <xf borderId="16" fillId="19" fontId="1" numFmtId="0" xfId="0" applyAlignment="1" applyBorder="1" applyFont="1">
      <alignment horizontal="center" readingOrder="0" vertical="bottom"/>
    </xf>
    <xf borderId="16" fillId="21" fontId="1" numFmtId="0" xfId="0" applyAlignment="1" applyBorder="1" applyFont="1">
      <alignment horizontal="center" readingOrder="0" vertical="bottom"/>
    </xf>
    <xf borderId="16" fillId="23" fontId="1" numFmtId="0" xfId="0" applyAlignment="1" applyBorder="1" applyFont="1">
      <alignment horizontal="center" readingOrder="0" vertical="bottom"/>
    </xf>
    <xf borderId="16" fillId="25" fontId="1" numFmtId="0" xfId="0" applyAlignment="1" applyBorder="1" applyFont="1">
      <alignment horizontal="center" readingOrder="0" vertical="bottom"/>
    </xf>
    <xf borderId="16" fillId="26" fontId="1" numFmtId="0" xfId="0" applyAlignment="1" applyBorder="1" applyFont="1">
      <alignment horizontal="center" readingOrder="0" vertical="bottom"/>
    </xf>
    <xf borderId="16" fillId="27" fontId="1" numFmtId="0" xfId="0" applyAlignment="1" applyBorder="1" applyFont="1">
      <alignment horizontal="center" readingOrder="0" vertical="bottom"/>
    </xf>
    <xf borderId="16" fillId="28" fontId="1" numFmtId="0" xfId="0" applyAlignment="1" applyBorder="1" applyFont="1">
      <alignment horizontal="center" readingOrder="0" vertical="bottom"/>
    </xf>
    <xf borderId="16" fillId="29" fontId="1" numFmtId="0" xfId="0" applyAlignment="1" applyBorder="1" applyFont="1">
      <alignment horizontal="center" readingOrder="0" vertical="bottom"/>
    </xf>
    <xf borderId="16" fillId="30" fontId="1" numFmtId="0" xfId="0" applyAlignment="1" applyBorder="1" applyFont="1">
      <alignment horizontal="center" readingOrder="0" vertical="bottom"/>
    </xf>
  </cellXfs>
  <cellStyles count="1">
    <cellStyle xfId="0" name="Normal" builtinId="0"/>
  </cellStyles>
  <dxfs count="26">
    <dxf>
      <font/>
      <fill>
        <patternFill patternType="solid">
          <fgColor rgb="FF5B9FAE"/>
          <bgColor rgb="FF5B9FAE"/>
        </patternFill>
      </fill>
      <border/>
    </dxf>
    <dxf>
      <font/>
      <fill>
        <patternFill patternType="solid">
          <fgColor rgb="FF8E7CC3"/>
          <bgColor rgb="FF8E7CC3"/>
        </patternFill>
      </fill>
      <border/>
    </dxf>
    <dxf>
      <font/>
      <fill>
        <patternFill patternType="solid">
          <fgColor rgb="FF6F5858"/>
          <bgColor rgb="FF6F5858"/>
        </patternFill>
      </fill>
      <border/>
    </dxf>
    <dxf>
      <font/>
      <fill>
        <patternFill patternType="solid">
          <fgColor rgb="FFFF00FF"/>
          <bgColor rgb="FFFF00FF"/>
        </patternFill>
      </fill>
      <border/>
    </dxf>
    <dxf>
      <font/>
      <fill>
        <patternFill patternType="solid">
          <fgColor rgb="FFCB95B1"/>
          <bgColor rgb="FFCB95B1"/>
        </patternFill>
      </fill>
      <border/>
    </dxf>
    <dxf>
      <font/>
      <fill>
        <patternFill patternType="solid">
          <fgColor rgb="FF3D4E71"/>
          <bgColor rgb="FF3D4E71"/>
        </patternFill>
      </fill>
      <border/>
    </dxf>
    <dxf>
      <font/>
      <fill>
        <patternFill patternType="solid">
          <fgColor rgb="FFE6B8AF"/>
          <bgColor rgb="FFE6B8AF"/>
        </patternFill>
      </fill>
      <border/>
    </dxf>
    <dxf>
      <font/>
      <fill>
        <patternFill patternType="solid">
          <fgColor rgb="FFB25590"/>
          <bgColor rgb="FFB25590"/>
        </patternFill>
      </fill>
      <border/>
    </dxf>
    <dxf>
      <font/>
      <fill>
        <patternFill patternType="solid">
          <fgColor rgb="FF635353"/>
          <bgColor rgb="FF635353"/>
        </patternFill>
      </fill>
      <border/>
    </dxf>
    <dxf>
      <font/>
      <fill>
        <patternFill patternType="solid">
          <fgColor rgb="FF7F905A"/>
          <bgColor rgb="FF7F905A"/>
        </patternFill>
      </fill>
      <border/>
    </dxf>
    <dxf>
      <font/>
      <fill>
        <patternFill patternType="solid">
          <fgColor rgb="FF816310"/>
          <bgColor rgb="FF816310"/>
        </patternFill>
      </fill>
      <border/>
    </dxf>
    <dxf>
      <font/>
      <fill>
        <patternFill patternType="solid">
          <fgColor rgb="FFC0FFFA"/>
          <bgColor rgb="FFC0FFFA"/>
        </patternFill>
      </fill>
      <border/>
    </dxf>
    <dxf>
      <font/>
      <fill>
        <patternFill patternType="solid">
          <fgColor rgb="FFB68299"/>
          <bgColor rgb="FFB68299"/>
        </patternFill>
      </fill>
      <border/>
    </dxf>
    <dxf>
      <font/>
      <fill>
        <patternFill patternType="solid">
          <fgColor rgb="FF00FAFF"/>
          <bgColor rgb="FF00FAFF"/>
        </patternFill>
      </fill>
      <border/>
    </dxf>
    <dxf>
      <font/>
      <fill>
        <patternFill patternType="solid">
          <fgColor rgb="FFD2D203"/>
          <bgColor rgb="FFD2D203"/>
        </patternFill>
      </fill>
      <border/>
    </dxf>
    <dxf>
      <font/>
      <fill>
        <patternFill patternType="solid">
          <fgColor rgb="FFD1A989"/>
          <bgColor rgb="FFD1A989"/>
        </patternFill>
      </fill>
      <border/>
    </dxf>
    <dxf>
      <font/>
      <fill>
        <patternFill patternType="solid">
          <fgColor rgb="FF90EE90"/>
          <bgColor rgb="FF90EE90"/>
        </patternFill>
      </fill>
      <border/>
    </dxf>
    <dxf>
      <font/>
      <fill>
        <patternFill patternType="solid">
          <fgColor rgb="FFFF0000"/>
          <bgColor rgb="FFFF0000"/>
        </patternFill>
      </fill>
      <border/>
    </dxf>
    <dxf>
      <font/>
      <fill>
        <patternFill patternType="solid">
          <fgColor rgb="FF999999"/>
          <bgColor rgb="FF999999"/>
        </patternFill>
      </fill>
      <border/>
    </dxf>
    <dxf>
      <font/>
      <fill>
        <patternFill patternType="solid">
          <fgColor rgb="FF434343"/>
          <bgColor rgb="FF434343"/>
        </patternFill>
      </fill>
      <border/>
    </dxf>
    <dxf>
      <font/>
      <fill>
        <patternFill patternType="solid">
          <fgColor rgb="FFFF6100"/>
          <bgColor rgb="FFFF6100"/>
        </patternFill>
      </fill>
      <border/>
    </dxf>
    <dxf>
      <font/>
      <fill>
        <patternFill patternType="solid">
          <fgColor rgb="FFFF8300"/>
          <bgColor rgb="FFFF8300"/>
        </patternFill>
      </fill>
      <border/>
    </dxf>
    <dxf>
      <font/>
      <fill>
        <patternFill patternType="solid">
          <fgColor rgb="FF00FF2A"/>
          <bgColor rgb="FF00FF2A"/>
        </patternFill>
      </fill>
      <border/>
    </dxf>
    <dxf>
      <font/>
      <fill>
        <patternFill patternType="solid">
          <fgColor rgb="FFF600FF"/>
          <bgColor rgb="FFF600FF"/>
        </patternFill>
      </fill>
      <border/>
    </dxf>
    <dxf>
      <font/>
      <fill>
        <patternFill patternType="solid">
          <fgColor rgb="FF666666"/>
          <bgColor rgb="FF666666"/>
        </patternFill>
      </fill>
      <border/>
    </dxf>
    <dxf>
      <font/>
      <fill>
        <patternFill patternType="solid">
          <fgColor rgb="FF961C35"/>
          <bgColor rgb="FF961C3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MS Edge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'LD Biologics'!$A$43:$A$46</c:f>
            </c:strRef>
          </c:cat>
          <c:val>
            <c:numRef>
              <c:f>'LD Biologics'!$B$43:$B$46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Firefox</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'LD Biologics'!$A$43:$A$46</c:f>
            </c:strRef>
          </c:cat>
          <c:val>
            <c:numRef>
              <c:f>'LD Biologics'!$C$43:$C$46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Pass Status for Chrome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dPt>
          <c:dLbls>
            <c:showLegendKey val="0"/>
            <c:showVal val="1"/>
            <c:showCatName val="0"/>
            <c:showSerName val="0"/>
            <c:showPercent val="0"/>
            <c:showBubbleSize val="0"/>
            <c:showLeaderLines val="1"/>
          </c:dLbls>
          <c:cat>
            <c:strRef>
              <c:f>'LD Biologics'!$A$43:$A$46</c:f>
            </c:strRef>
          </c:cat>
          <c:val>
            <c:numRef>
              <c:f>'LD Biologics'!$D$43:$D$46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42</xdr:row>
      <xdr:rowOff>47625</xdr:rowOff>
    </xdr:from>
    <xdr:ext cx="3333750" cy="23812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142875</xdr:colOff>
      <xdr:row>56</xdr:row>
      <xdr:rowOff>47625</xdr:rowOff>
    </xdr:from>
    <xdr:ext cx="3333750" cy="2381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142875</xdr:colOff>
      <xdr:row>71</xdr:row>
      <xdr:rowOff>47625</xdr:rowOff>
    </xdr:from>
    <xdr:ext cx="3333750" cy="23812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ira.schrodinger.com/browse/SS-43089" TargetMode="External"/><Relationship Id="rId10" Type="http://schemas.openxmlformats.org/officeDocument/2006/relationships/hyperlink" Target="https://github.com/schrodinger/livedesign/blob/master/LD-WebTests/tests/selenium/biologics/test_import_biologics_helm.py" TargetMode="External"/><Relationship Id="rId13" Type="http://schemas.openxmlformats.org/officeDocument/2006/relationships/hyperlink" Target="https://github.com/schrodinger/livedesign/blob/master/LD-WebTests/tests/selenium/biologics/test_biologics_relationship.py" TargetMode="External"/><Relationship Id="rId12" Type="http://schemas.openxmlformats.org/officeDocument/2006/relationships/hyperlink" Target="https://jira.schrodinger.com/browse/SS-43402" TargetMode="External"/><Relationship Id="rId1" Type="http://schemas.openxmlformats.org/officeDocument/2006/relationships/hyperlink" Target="https://github.com/schrodinger/livedesign/blob/master/LD-WebTests/tests/selenium/biologics/test_import_biologics_helm.py" TargetMode="External"/><Relationship Id="rId2" Type="http://schemas.openxmlformats.org/officeDocument/2006/relationships/hyperlink" Target="https://confluence.schrodinger.com/display/QA/Biologics+Testing" TargetMode="External"/><Relationship Id="rId3" Type="http://schemas.openxmlformats.org/officeDocument/2006/relationships/hyperlink" Target="https://github.com/schrodinger/livedesign/blob/RELEASE_V2025.4.x/LD-WebTests/tests/selenium/biologics/test_import_biologics_and_search.py" TargetMode="External"/><Relationship Id="rId4" Type="http://schemas.openxmlformats.org/officeDocument/2006/relationships/hyperlink" Target="https://jira.schrodinger.com/browse/SS-42556" TargetMode="External"/><Relationship Id="rId9" Type="http://schemas.openxmlformats.org/officeDocument/2006/relationships/hyperlink" Target="https://jira.schrodinger.com/browse/SS-43383" TargetMode="External"/><Relationship Id="rId15" Type="http://schemas.openxmlformats.org/officeDocument/2006/relationships/hyperlink" Target="https://github.com/schrodinger/livedesign/blob/master/LD-WebTests/tests/selenium/biologics/test_biologics_relationship.py" TargetMode="External"/><Relationship Id="rId14" Type="http://schemas.openxmlformats.org/officeDocument/2006/relationships/hyperlink" Target="https://github.com/schrodinger/livedesign/blob/master/LD-WebTests/tests/selenium/biologics/test_biologics_relationship.py" TargetMode="External"/><Relationship Id="rId17" Type="http://schemas.openxmlformats.org/officeDocument/2006/relationships/drawing" Target="../drawings/drawing1.xml"/><Relationship Id="rId16" Type="http://schemas.openxmlformats.org/officeDocument/2006/relationships/hyperlink" Target="https://schrodinger.atlassian.net/wiki/spaces/LDE/pages/54372641/Adding+a+custom+monomer+database+to+BBChem" TargetMode="External"/><Relationship Id="rId5" Type="http://schemas.openxmlformats.org/officeDocument/2006/relationships/hyperlink" Target="https://drive.google.com/drive/folders/1G6KhXZMSa-I_JGh5fcFH-CeP1s_3CGdb" TargetMode="External"/><Relationship Id="rId6" Type="http://schemas.openxmlformats.org/officeDocument/2006/relationships/hyperlink" Target="https://docs.google.com/document/d/14x6-vA3GJa3ZqPYq8fC5hhJGl4Fnv-MoMRQZbe_p6bw/edit" TargetMode="External"/><Relationship Id="rId7" Type="http://schemas.openxmlformats.org/officeDocument/2006/relationships/hyperlink" Target="https://jira.schrodinger.com/browse/SS-43770" TargetMode="External"/><Relationship Id="rId8" Type="http://schemas.openxmlformats.org/officeDocument/2006/relationships/hyperlink" Target="https://github.com/schrodinger/livedesign/blob/master/LD-WebTests/tests/selenium/biologics/test_filter_biologics_helm.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1" max="1" width="16.5"/>
    <col customWidth="1" min="3" max="3" width="64.13"/>
    <col customWidth="1" min="9" max="15" width="15.13"/>
  </cols>
  <sheetData>
    <row r="1">
      <c r="A1" s="1" t="str">
        <f>offset(A1,0,6)</f>
        <v>LD 2026-1 Pass 3 (StartDate: 27/Jan/2025) Build(#)</v>
      </c>
      <c r="B1" s="2" t="str">
        <f t="shared" ref="B1:D1" si="1">CONCATENATE(OFFSET(B2,0,5), " Status")</f>
        <v>MS Edge Status</v>
      </c>
      <c r="C1" s="2" t="str">
        <f t="shared" si="1"/>
        <v>FireFox Status</v>
      </c>
      <c r="D1" s="2" t="str">
        <f t="shared" si="1"/>
        <v>Chrome Status</v>
      </c>
      <c r="E1" s="3"/>
      <c r="F1" s="4" t="s">
        <v>0</v>
      </c>
      <c r="G1" s="5" t="s">
        <v>1</v>
      </c>
      <c r="H1" s="6"/>
      <c r="I1" s="7"/>
      <c r="J1" s="5" t="s">
        <v>2</v>
      </c>
      <c r="K1" s="6"/>
      <c r="L1" s="7"/>
      <c r="M1" s="5" t="s">
        <v>3</v>
      </c>
      <c r="N1" s="6"/>
      <c r="O1" s="7"/>
      <c r="P1" s="8"/>
      <c r="Q1" s="8"/>
    </row>
    <row r="2">
      <c r="A2" s="9"/>
      <c r="B2" s="10" t="str">
        <f>IF(OR(offset(B3,0,5)="Incomplete", offset(B3,0,5)="Not Tested"), offset(B3,0,5), concatenate( offset(B3,0,5)," (", offset( B2,B37-2,5), "%)"))</f>
        <v>Incomplete</v>
      </c>
      <c r="C2" s="10" t="str">
        <f>IF(OR(offset(C3,0,5)="Incomplete", offset(C3,0,5)="Not Tested"), offset(C3,0,5), concatenate( offset(C3,0,5)," (", offset( C2,B37-2,5), "%)"))</f>
        <v>Incomplete</v>
      </c>
      <c r="D2" s="10" t="str">
        <f>IF(OR(offset(D3,0,5)="Incomplete", offset(D3,0,5)="Not Tested"), offset(D3,0,5), concatenate( offset(D3,0,5)," (", offset( D2,B37-2,5), "%)"))</f>
        <v>Incomplete</v>
      </c>
      <c r="E2" s="8"/>
      <c r="F2" s="11" t="s">
        <v>4</v>
      </c>
      <c r="G2" s="12" t="s">
        <v>5</v>
      </c>
      <c r="H2" s="12" t="s">
        <v>6</v>
      </c>
      <c r="I2" s="12" t="s">
        <v>7</v>
      </c>
      <c r="J2" s="12" t="s">
        <v>5</v>
      </c>
      <c r="K2" s="12" t="s">
        <v>6</v>
      </c>
      <c r="L2" s="12" t="s">
        <v>7</v>
      </c>
      <c r="M2" s="12" t="s">
        <v>5</v>
      </c>
      <c r="N2" s="12" t="s">
        <v>6</v>
      </c>
      <c r="O2" s="12" t="s">
        <v>7</v>
      </c>
      <c r="P2" s="8"/>
      <c r="Q2" s="8"/>
    </row>
    <row r="3">
      <c r="A3" s="13" t="s">
        <v>8</v>
      </c>
      <c r="B3" s="10" t="str">
        <f t="shared" ref="B3:D3" si="2">OFFSET(B4,0,5)</f>
        <v>Not Tested</v>
      </c>
      <c r="C3" s="10" t="str">
        <f t="shared" si="2"/>
        <v>Aditya</v>
      </c>
      <c r="D3" s="10" t="str">
        <f t="shared" si="2"/>
        <v>Not Tested</v>
      </c>
      <c r="E3" s="8"/>
      <c r="F3" s="14" t="s">
        <v>9</v>
      </c>
      <c r="G3" s="15" t="s">
        <v>10</v>
      </c>
      <c r="H3" s="15" t="s">
        <v>10</v>
      </c>
      <c r="I3" s="15" t="s">
        <v>10</v>
      </c>
      <c r="J3" s="15" t="s">
        <v>10</v>
      </c>
      <c r="K3" s="15" t="s">
        <v>10</v>
      </c>
      <c r="L3" s="15" t="s">
        <v>11</v>
      </c>
      <c r="M3" s="15" t="s">
        <v>10</v>
      </c>
      <c r="N3" s="15" t="s">
        <v>12</v>
      </c>
      <c r="O3" s="15" t="s">
        <v>10</v>
      </c>
      <c r="P3" s="8"/>
      <c r="Q3" s="8"/>
    </row>
    <row r="4">
      <c r="A4" s="16"/>
      <c r="B4" s="8"/>
      <c r="C4" s="17"/>
      <c r="D4" s="8"/>
      <c r="E4" s="8"/>
      <c r="F4" s="18"/>
      <c r="G4" s="15" t="s">
        <v>13</v>
      </c>
      <c r="H4" s="15" t="s">
        <v>14</v>
      </c>
      <c r="I4" s="15" t="s">
        <v>13</v>
      </c>
      <c r="J4" s="15" t="s">
        <v>13</v>
      </c>
      <c r="K4" s="15" t="s">
        <v>13</v>
      </c>
      <c r="L4" s="15" t="s">
        <v>14</v>
      </c>
      <c r="M4" s="15" t="s">
        <v>13</v>
      </c>
      <c r="N4" s="15" t="s">
        <v>14</v>
      </c>
      <c r="O4" s="15" t="s">
        <v>13</v>
      </c>
      <c r="P4" s="8"/>
      <c r="Q4" s="8"/>
    </row>
    <row r="5">
      <c r="A5" s="19" t="s">
        <v>15</v>
      </c>
      <c r="B5" s="20" t="s">
        <v>16</v>
      </c>
      <c r="C5" s="20" t="s">
        <v>17</v>
      </c>
      <c r="D5" s="21" t="s">
        <v>18</v>
      </c>
      <c r="E5" s="21" t="s">
        <v>19</v>
      </c>
      <c r="F5" s="22" t="s">
        <v>20</v>
      </c>
      <c r="G5" s="23"/>
      <c r="H5" s="23"/>
      <c r="I5" s="23"/>
      <c r="J5" s="23"/>
      <c r="K5" s="23"/>
      <c r="L5" s="23"/>
      <c r="M5" s="23"/>
      <c r="N5" s="23"/>
      <c r="O5" s="23"/>
      <c r="P5" s="8"/>
      <c r="Q5" s="8"/>
    </row>
    <row r="6">
      <c r="A6" s="24"/>
      <c r="B6" s="25"/>
      <c r="C6" s="26" t="s">
        <v>21</v>
      </c>
      <c r="D6" s="27" t="s">
        <v>22</v>
      </c>
      <c r="E6" s="8"/>
      <c r="F6" s="18"/>
      <c r="G6" s="28"/>
      <c r="H6" s="29" t="s">
        <v>23</v>
      </c>
      <c r="I6" s="28"/>
      <c r="J6" s="28"/>
      <c r="K6" s="29"/>
      <c r="L6" s="28" t="s">
        <v>23</v>
      </c>
      <c r="M6" s="28"/>
      <c r="N6" s="29" t="s">
        <v>24</v>
      </c>
      <c r="O6" s="28" t="s">
        <v>23</v>
      </c>
      <c r="P6" s="8"/>
      <c r="Q6" s="8"/>
    </row>
    <row r="7">
      <c r="A7" s="30"/>
      <c r="B7" s="31" t="s">
        <v>25</v>
      </c>
      <c r="C7" s="32" t="s">
        <v>26</v>
      </c>
      <c r="D7" s="8"/>
      <c r="E7" s="8"/>
      <c r="F7" s="33" t="s">
        <v>27</v>
      </c>
      <c r="G7" s="28"/>
      <c r="H7" s="34"/>
      <c r="I7" s="34"/>
      <c r="J7" s="28"/>
      <c r="K7" s="34"/>
      <c r="L7" s="34" t="s">
        <v>24</v>
      </c>
      <c r="M7" s="28"/>
      <c r="N7" s="34" t="s">
        <v>24</v>
      </c>
      <c r="O7" s="34"/>
      <c r="P7" s="8"/>
      <c r="Q7" s="8"/>
    </row>
    <row r="8">
      <c r="A8" s="30"/>
      <c r="B8" s="30"/>
      <c r="C8" s="32" t="s">
        <v>28</v>
      </c>
      <c r="D8" s="35" t="s">
        <v>29</v>
      </c>
      <c r="E8" s="8"/>
      <c r="F8" s="36" t="s">
        <v>30</v>
      </c>
      <c r="G8" s="28"/>
      <c r="H8" s="37" t="s">
        <v>23</v>
      </c>
      <c r="I8" s="37"/>
      <c r="J8" s="28"/>
      <c r="K8" s="37"/>
      <c r="L8" s="37" t="s">
        <v>23</v>
      </c>
      <c r="M8" s="28"/>
      <c r="N8" s="37" t="s">
        <v>24</v>
      </c>
      <c r="O8" s="37" t="s">
        <v>23</v>
      </c>
      <c r="P8" s="8"/>
      <c r="Q8" s="8"/>
    </row>
    <row r="9">
      <c r="A9" s="30"/>
      <c r="B9" s="38"/>
      <c r="C9" s="32" t="s">
        <v>31</v>
      </c>
      <c r="D9" s="8"/>
      <c r="E9" s="8"/>
      <c r="F9" s="18"/>
      <c r="G9" s="28"/>
      <c r="H9" s="39"/>
      <c r="I9" s="40"/>
      <c r="J9" s="28"/>
      <c r="K9" s="39"/>
      <c r="L9" s="40" t="s">
        <v>24</v>
      </c>
      <c r="M9" s="28"/>
      <c r="N9" s="39" t="s">
        <v>24</v>
      </c>
      <c r="O9" s="40"/>
      <c r="P9" s="8"/>
      <c r="Q9" s="8"/>
    </row>
    <row r="10">
      <c r="A10" s="30"/>
      <c r="B10" s="31" t="s">
        <v>32</v>
      </c>
      <c r="C10" s="32" t="s">
        <v>33</v>
      </c>
      <c r="D10" s="8"/>
      <c r="E10" s="8"/>
      <c r="F10" s="36" t="s">
        <v>34</v>
      </c>
      <c r="G10" s="28"/>
      <c r="H10" s="41"/>
      <c r="I10" s="40"/>
      <c r="J10" s="28"/>
      <c r="K10" s="41"/>
      <c r="L10" s="40" t="s">
        <v>24</v>
      </c>
      <c r="M10" s="28"/>
      <c r="N10" s="41" t="s">
        <v>24</v>
      </c>
      <c r="O10" s="40"/>
      <c r="P10" s="8"/>
      <c r="Q10" s="8"/>
    </row>
    <row r="11">
      <c r="A11" s="30"/>
      <c r="B11" s="30"/>
      <c r="C11" s="42" t="s">
        <v>35</v>
      </c>
      <c r="D11" s="8"/>
      <c r="E11" s="8"/>
      <c r="F11" s="33" t="s">
        <v>36</v>
      </c>
      <c r="G11" s="28"/>
      <c r="H11" s="43"/>
      <c r="I11" s="40"/>
      <c r="J11" s="28"/>
      <c r="K11" s="43"/>
      <c r="L11" s="40" t="s">
        <v>24</v>
      </c>
      <c r="M11" s="28"/>
      <c r="N11" s="43" t="s">
        <v>24</v>
      </c>
      <c r="O11" s="40"/>
      <c r="P11" s="8"/>
      <c r="Q11" s="8"/>
    </row>
    <row r="12">
      <c r="A12" s="30"/>
      <c r="B12" s="30"/>
      <c r="C12" s="32" t="s">
        <v>37</v>
      </c>
      <c r="D12" s="8"/>
      <c r="E12" s="8"/>
      <c r="F12" s="44"/>
      <c r="G12" s="28"/>
      <c r="H12" s="43"/>
      <c r="I12" s="43"/>
      <c r="J12" s="28"/>
      <c r="K12" s="43"/>
      <c r="L12" s="43" t="s">
        <v>24</v>
      </c>
      <c r="M12" s="28"/>
      <c r="N12" s="43" t="s">
        <v>24</v>
      </c>
      <c r="O12" s="43"/>
      <c r="P12" s="8"/>
      <c r="Q12" s="8"/>
    </row>
    <row r="13">
      <c r="A13" s="30"/>
      <c r="B13" s="30"/>
      <c r="C13" s="32" t="s">
        <v>38</v>
      </c>
      <c r="D13" s="8"/>
      <c r="E13" s="8"/>
      <c r="F13" s="44"/>
      <c r="G13" s="28"/>
      <c r="H13" s="43"/>
      <c r="I13" s="43"/>
      <c r="J13" s="28"/>
      <c r="K13" s="43"/>
      <c r="L13" s="43" t="s">
        <v>24</v>
      </c>
      <c r="M13" s="28"/>
      <c r="N13" s="43" t="s">
        <v>24</v>
      </c>
      <c r="O13" s="43"/>
      <c r="P13" s="8"/>
      <c r="Q13" s="8"/>
    </row>
    <row r="14">
      <c r="A14" s="30"/>
      <c r="B14" s="38"/>
      <c r="C14" s="32" t="s">
        <v>39</v>
      </c>
      <c r="D14" s="8"/>
      <c r="E14" s="8"/>
      <c r="F14" s="45" t="s">
        <v>40</v>
      </c>
      <c r="G14" s="28"/>
      <c r="H14" s="39"/>
      <c r="I14" s="40"/>
      <c r="J14" s="28"/>
      <c r="K14" s="39"/>
      <c r="L14" s="40" t="s">
        <v>24</v>
      </c>
      <c r="M14" s="28"/>
      <c r="N14" s="39" t="s">
        <v>24</v>
      </c>
      <c r="O14" s="40"/>
      <c r="P14" s="8"/>
      <c r="Q14" s="8"/>
    </row>
    <row r="15">
      <c r="A15" s="30"/>
      <c r="B15" s="42" t="s">
        <v>41</v>
      </c>
      <c r="C15" s="32" t="s">
        <v>42</v>
      </c>
      <c r="D15" s="8"/>
      <c r="E15" s="8"/>
      <c r="F15" s="18"/>
      <c r="G15" s="28"/>
      <c r="H15" s="46"/>
      <c r="I15" s="40"/>
      <c r="J15" s="28"/>
      <c r="K15" s="46"/>
      <c r="L15" s="40" t="s">
        <v>24</v>
      </c>
      <c r="M15" s="28"/>
      <c r="N15" s="46" t="s">
        <v>24</v>
      </c>
      <c r="O15" s="47"/>
      <c r="P15" s="8"/>
      <c r="Q15" s="8"/>
    </row>
    <row r="16">
      <c r="A16" s="30"/>
      <c r="B16" s="32"/>
      <c r="C16" s="32" t="s">
        <v>43</v>
      </c>
      <c r="D16" s="48" t="s">
        <v>44</v>
      </c>
      <c r="E16" s="8"/>
      <c r="F16" s="49"/>
      <c r="G16" s="28"/>
      <c r="H16" s="39"/>
      <c r="I16" s="43"/>
      <c r="J16" s="28"/>
      <c r="K16" s="39"/>
      <c r="L16" s="43" t="s">
        <v>24</v>
      </c>
      <c r="M16" s="28"/>
      <c r="N16" s="39" t="s">
        <v>24</v>
      </c>
      <c r="O16" s="43"/>
      <c r="P16" s="8"/>
      <c r="Q16" s="8"/>
    </row>
    <row r="17">
      <c r="A17" s="30"/>
      <c r="B17" s="32" t="s">
        <v>45</v>
      </c>
      <c r="C17" s="32" t="s">
        <v>46</v>
      </c>
      <c r="D17" s="27" t="s">
        <v>47</v>
      </c>
      <c r="E17" s="8"/>
      <c r="F17" s="50" t="s">
        <v>48</v>
      </c>
      <c r="G17" s="28"/>
      <c r="H17" s="39" t="s">
        <v>23</v>
      </c>
      <c r="I17" s="43"/>
      <c r="J17" s="28"/>
      <c r="K17" s="39"/>
      <c r="L17" s="43" t="s">
        <v>23</v>
      </c>
      <c r="M17" s="28"/>
      <c r="N17" s="39" t="s">
        <v>24</v>
      </c>
      <c r="O17" s="43" t="s">
        <v>23</v>
      </c>
      <c r="P17" s="8"/>
      <c r="Q17" s="8"/>
    </row>
    <row r="18">
      <c r="A18" s="30"/>
      <c r="B18" s="51" t="s">
        <v>49</v>
      </c>
      <c r="C18" s="32" t="s">
        <v>50</v>
      </c>
      <c r="D18" s="8"/>
      <c r="E18" s="8"/>
      <c r="F18" s="18"/>
      <c r="G18" s="28"/>
      <c r="H18" s="39"/>
      <c r="I18" s="40"/>
      <c r="J18" s="28"/>
      <c r="K18" s="39"/>
      <c r="L18" s="40" t="s">
        <v>24</v>
      </c>
      <c r="M18" s="28"/>
      <c r="N18" s="39" t="s">
        <v>24</v>
      </c>
      <c r="O18" s="40"/>
      <c r="P18" s="8"/>
      <c r="Q18" s="8"/>
    </row>
    <row r="19">
      <c r="A19" s="30"/>
      <c r="B19" s="30"/>
      <c r="C19" s="32" t="s">
        <v>51</v>
      </c>
      <c r="D19" s="27" t="s">
        <v>22</v>
      </c>
      <c r="E19" s="8"/>
      <c r="F19" s="50" t="s">
        <v>52</v>
      </c>
      <c r="G19" s="28"/>
      <c r="H19" s="39" t="s">
        <v>23</v>
      </c>
      <c r="I19" s="52"/>
      <c r="J19" s="28"/>
      <c r="K19" s="39"/>
      <c r="L19" s="52" t="s">
        <v>23</v>
      </c>
      <c r="M19" s="28"/>
      <c r="N19" s="39" t="s">
        <v>24</v>
      </c>
      <c r="O19" s="52" t="s">
        <v>23</v>
      </c>
      <c r="P19" s="8"/>
      <c r="Q19" s="8"/>
    </row>
    <row r="20">
      <c r="A20" s="30"/>
      <c r="B20" s="30"/>
      <c r="C20" s="32" t="s">
        <v>53</v>
      </c>
      <c r="D20" s="8"/>
      <c r="E20" s="8"/>
      <c r="F20" s="18"/>
      <c r="G20" s="28"/>
      <c r="H20" s="39"/>
      <c r="I20" s="52"/>
      <c r="J20" s="28"/>
      <c r="K20" s="39"/>
      <c r="L20" s="52" t="s">
        <v>24</v>
      </c>
      <c r="M20" s="28"/>
      <c r="N20" s="39" t="s">
        <v>24</v>
      </c>
      <c r="O20" s="52"/>
      <c r="P20" s="8"/>
      <c r="Q20" s="8"/>
    </row>
    <row r="21">
      <c r="A21" s="30"/>
      <c r="B21" s="38"/>
      <c r="C21" s="32" t="s">
        <v>54</v>
      </c>
      <c r="D21" s="8"/>
      <c r="E21" s="8"/>
      <c r="F21" s="18"/>
      <c r="G21" s="28"/>
      <c r="H21" s="28"/>
      <c r="I21" s="53"/>
      <c r="J21" s="28"/>
      <c r="K21" s="28"/>
      <c r="L21" s="53" t="s">
        <v>24</v>
      </c>
      <c r="M21" s="28"/>
      <c r="N21" s="28" t="s">
        <v>24</v>
      </c>
      <c r="O21" s="53"/>
      <c r="P21" s="8"/>
      <c r="Q21" s="8"/>
    </row>
    <row r="22">
      <c r="A22" s="30"/>
      <c r="B22" s="51" t="s">
        <v>55</v>
      </c>
      <c r="C22" s="32" t="s">
        <v>56</v>
      </c>
      <c r="D22" s="8"/>
      <c r="E22" s="8"/>
      <c r="F22" s="18"/>
      <c r="G22" s="28"/>
      <c r="H22" s="28"/>
      <c r="I22" s="28"/>
      <c r="J22" s="28"/>
      <c r="K22" s="28"/>
      <c r="L22" s="28" t="s">
        <v>24</v>
      </c>
      <c r="M22" s="28"/>
      <c r="N22" s="28" t="s">
        <v>24</v>
      </c>
      <c r="O22" s="28"/>
      <c r="P22" s="8"/>
      <c r="Q22" s="8"/>
    </row>
    <row r="23">
      <c r="A23" s="30"/>
      <c r="B23" s="30"/>
      <c r="C23" s="32" t="s">
        <v>57</v>
      </c>
      <c r="D23" s="8"/>
      <c r="E23" s="8"/>
      <c r="F23" s="18"/>
      <c r="G23" s="28"/>
      <c r="H23" s="28"/>
      <c r="I23" s="28"/>
      <c r="J23" s="28"/>
      <c r="K23" s="28"/>
      <c r="L23" s="28" t="s">
        <v>24</v>
      </c>
      <c r="M23" s="28"/>
      <c r="N23" s="28" t="s">
        <v>24</v>
      </c>
      <c r="O23" s="28"/>
      <c r="P23" s="8"/>
      <c r="Q23" s="8"/>
    </row>
    <row r="24">
      <c r="A24" s="30"/>
      <c r="B24" s="30"/>
      <c r="C24" s="54" t="s">
        <v>58</v>
      </c>
      <c r="D24" s="8"/>
      <c r="E24" s="8"/>
      <c r="F24" s="18"/>
      <c r="G24" s="28"/>
      <c r="H24" s="28"/>
      <c r="I24" s="40"/>
      <c r="J24" s="28"/>
      <c r="K24" s="28"/>
      <c r="L24" s="40" t="s">
        <v>24</v>
      </c>
      <c r="M24" s="28"/>
      <c r="N24" s="28" t="s">
        <v>24</v>
      </c>
      <c r="O24" s="40"/>
      <c r="P24" s="8"/>
      <c r="Q24" s="8"/>
    </row>
    <row r="25">
      <c r="A25" s="30"/>
      <c r="B25" s="38"/>
      <c r="C25" s="55" t="s">
        <v>59</v>
      </c>
      <c r="D25" s="8"/>
      <c r="E25" s="8"/>
      <c r="F25" s="18"/>
      <c r="G25" s="28"/>
      <c r="H25" s="28"/>
      <c r="I25" s="40"/>
      <c r="J25" s="28"/>
      <c r="K25" s="28"/>
      <c r="L25" s="40" t="s">
        <v>24</v>
      </c>
      <c r="M25" s="28"/>
      <c r="N25" s="28" t="s">
        <v>24</v>
      </c>
      <c r="O25" s="40"/>
      <c r="P25" s="8"/>
      <c r="Q25" s="8"/>
    </row>
    <row r="26">
      <c r="A26" s="30"/>
      <c r="B26" s="31" t="s">
        <v>60</v>
      </c>
      <c r="C26" s="32" t="s">
        <v>61</v>
      </c>
      <c r="D26" s="8"/>
      <c r="E26" s="8"/>
      <c r="F26" s="18"/>
      <c r="G26" s="28"/>
      <c r="H26" s="40"/>
      <c r="I26" s="28"/>
      <c r="J26" s="28"/>
      <c r="K26" s="40"/>
      <c r="L26" s="28" t="s">
        <v>24</v>
      </c>
      <c r="M26" s="28"/>
      <c r="N26" s="40" t="s">
        <v>24</v>
      </c>
      <c r="O26" s="28"/>
      <c r="P26" s="8"/>
      <c r="Q26" s="8"/>
    </row>
    <row r="27">
      <c r="A27" s="30"/>
      <c r="B27" s="38"/>
      <c r="C27" s="32" t="s">
        <v>62</v>
      </c>
      <c r="D27" s="8"/>
      <c r="E27" s="8"/>
      <c r="F27" s="18"/>
      <c r="G27" s="28"/>
      <c r="H27" s="40"/>
      <c r="I27" s="28"/>
      <c r="J27" s="28"/>
      <c r="K27" s="40"/>
      <c r="L27" s="28" t="s">
        <v>24</v>
      </c>
      <c r="M27" s="28"/>
      <c r="N27" s="40" t="s">
        <v>24</v>
      </c>
      <c r="O27" s="28"/>
      <c r="P27" s="8"/>
      <c r="Q27" s="8"/>
    </row>
    <row r="28">
      <c r="A28" s="38"/>
      <c r="B28" s="32" t="s">
        <v>63</v>
      </c>
      <c r="C28" s="32" t="s">
        <v>64</v>
      </c>
      <c r="D28" s="8"/>
      <c r="E28" s="8"/>
      <c r="F28" s="50" t="s">
        <v>65</v>
      </c>
      <c r="G28" s="28"/>
      <c r="H28" s="28"/>
      <c r="I28" s="40"/>
      <c r="J28" s="28"/>
      <c r="K28" s="28"/>
      <c r="L28" s="40" t="s">
        <v>24</v>
      </c>
      <c r="M28" s="28"/>
      <c r="N28" s="28" t="s">
        <v>24</v>
      </c>
      <c r="O28" s="40"/>
      <c r="P28" s="8"/>
      <c r="Q28" s="8"/>
    </row>
    <row r="29">
      <c r="A29" s="56" t="s">
        <v>66</v>
      </c>
      <c r="B29" s="31" t="s">
        <v>67</v>
      </c>
      <c r="C29" s="55" t="s">
        <v>68</v>
      </c>
      <c r="D29" s="27" t="s">
        <v>69</v>
      </c>
      <c r="E29" s="8"/>
      <c r="F29" s="49"/>
      <c r="G29" s="28"/>
      <c r="H29" s="28" t="s">
        <v>23</v>
      </c>
      <c r="I29" s="40"/>
      <c r="J29" s="28"/>
      <c r="K29" s="28"/>
      <c r="L29" s="40" t="s">
        <v>23</v>
      </c>
      <c r="M29" s="28"/>
      <c r="N29" s="28" t="s">
        <v>24</v>
      </c>
      <c r="O29" s="40" t="s">
        <v>23</v>
      </c>
      <c r="P29" s="8"/>
      <c r="Q29" s="8"/>
    </row>
    <row r="30">
      <c r="A30" s="30"/>
      <c r="B30" s="30"/>
      <c r="C30" s="32" t="s">
        <v>70</v>
      </c>
      <c r="D30" s="27" t="s">
        <v>69</v>
      </c>
      <c r="E30" s="8"/>
      <c r="F30" s="49"/>
      <c r="G30" s="28"/>
      <c r="H30" s="28" t="s">
        <v>23</v>
      </c>
      <c r="I30" s="40"/>
      <c r="J30" s="28"/>
      <c r="K30" s="28"/>
      <c r="L30" s="40" t="s">
        <v>23</v>
      </c>
      <c r="M30" s="28"/>
      <c r="N30" s="28" t="s">
        <v>24</v>
      </c>
      <c r="O30" s="40" t="s">
        <v>23</v>
      </c>
      <c r="P30" s="8"/>
      <c r="Q30" s="8"/>
    </row>
    <row r="31">
      <c r="A31" s="38"/>
      <c r="B31" s="38"/>
      <c r="C31" s="57" t="s">
        <v>71</v>
      </c>
      <c r="D31" s="27" t="s">
        <v>69</v>
      </c>
      <c r="E31" s="8"/>
      <c r="F31" s="49"/>
      <c r="G31" s="28"/>
      <c r="H31" s="28" t="s">
        <v>23</v>
      </c>
      <c r="I31" s="40"/>
      <c r="J31" s="28"/>
      <c r="K31" s="28"/>
      <c r="L31" s="40" t="s">
        <v>23</v>
      </c>
      <c r="M31" s="28"/>
      <c r="N31" s="28" t="s">
        <v>24</v>
      </c>
      <c r="O31" s="40" t="s">
        <v>23</v>
      </c>
      <c r="P31" s="8"/>
      <c r="Q31" s="8"/>
    </row>
    <row r="32">
      <c r="A32" s="56" t="s">
        <v>72</v>
      </c>
      <c r="B32" s="25"/>
      <c r="C32" s="55" t="s">
        <v>73</v>
      </c>
      <c r="D32" s="58" t="s">
        <v>74</v>
      </c>
      <c r="E32" s="58" t="s">
        <v>74</v>
      </c>
      <c r="F32" s="36" t="s">
        <v>75</v>
      </c>
      <c r="G32" s="28"/>
      <c r="H32" s="28"/>
      <c r="I32" s="28"/>
      <c r="J32" s="28"/>
      <c r="K32" s="28"/>
      <c r="L32" s="28" t="s">
        <v>24</v>
      </c>
      <c r="M32" s="28"/>
      <c r="N32" s="28"/>
      <c r="O32" s="28"/>
      <c r="P32" s="8"/>
      <c r="Q32" s="8"/>
    </row>
    <row r="33">
      <c r="A33" s="30"/>
      <c r="B33" s="25"/>
      <c r="C33" s="55" t="s">
        <v>76</v>
      </c>
      <c r="D33" s="58" t="s">
        <v>74</v>
      </c>
      <c r="E33" s="58" t="s">
        <v>74</v>
      </c>
      <c r="F33" s="59"/>
      <c r="G33" s="28"/>
      <c r="H33" s="28"/>
      <c r="I33" s="28"/>
      <c r="J33" s="28"/>
      <c r="K33" s="28"/>
      <c r="L33" s="28" t="s">
        <v>24</v>
      </c>
      <c r="M33" s="28"/>
      <c r="N33" s="28"/>
      <c r="O33" s="28"/>
      <c r="P33" s="8"/>
      <c r="Q33" s="8"/>
    </row>
    <row r="34">
      <c r="A34" s="30"/>
      <c r="B34" s="25"/>
      <c r="C34" s="32" t="s">
        <v>77</v>
      </c>
      <c r="D34" s="58" t="s">
        <v>74</v>
      </c>
      <c r="E34" s="58" t="s">
        <v>74</v>
      </c>
      <c r="F34" s="18"/>
      <c r="G34" s="28"/>
      <c r="H34" s="28"/>
      <c r="I34" s="28"/>
      <c r="J34" s="28"/>
      <c r="K34" s="28"/>
      <c r="L34" s="28" t="s">
        <v>24</v>
      </c>
      <c r="M34" s="28"/>
      <c r="N34" s="28"/>
      <c r="O34" s="28"/>
      <c r="P34" s="8"/>
      <c r="Q34" s="8"/>
    </row>
    <row r="35">
      <c r="A35" s="30"/>
      <c r="B35" s="25"/>
      <c r="C35" s="60" t="s">
        <v>78</v>
      </c>
      <c r="D35" s="58" t="s">
        <v>74</v>
      </c>
      <c r="E35" s="58" t="s">
        <v>74</v>
      </c>
      <c r="F35" s="8"/>
      <c r="G35" s="61"/>
      <c r="H35" s="28"/>
      <c r="I35" s="61"/>
      <c r="J35" s="61"/>
      <c r="K35" s="28"/>
      <c r="L35" s="61" t="s">
        <v>24</v>
      </c>
      <c r="M35" s="61"/>
      <c r="N35" s="28"/>
      <c r="O35" s="61"/>
      <c r="P35" s="8"/>
      <c r="Q35" s="8"/>
    </row>
    <row r="36">
      <c r="A36" s="38"/>
      <c r="B36" s="25"/>
      <c r="C36" s="32" t="s">
        <v>79</v>
      </c>
      <c r="D36" s="58" t="s">
        <v>74</v>
      </c>
      <c r="E36" s="58" t="s">
        <v>74</v>
      </c>
      <c r="F36" s="8"/>
      <c r="G36" s="61"/>
      <c r="H36" s="28"/>
      <c r="I36" s="61"/>
      <c r="J36" s="61"/>
      <c r="K36" s="28"/>
      <c r="L36" s="61" t="s">
        <v>24</v>
      </c>
      <c r="M36" s="61"/>
      <c r="N36" s="28"/>
      <c r="O36" s="61"/>
      <c r="P36" s="8"/>
      <c r="Q36" s="8"/>
    </row>
    <row r="37">
      <c r="A37" s="62"/>
      <c r="B37" s="25">
        <f>ROW()</f>
        <v>37</v>
      </c>
      <c r="C37" s="25" t="str">
        <f>CONCAT("Total Cases = ",ROW()-6)</f>
        <v>Total Cases = 31</v>
      </c>
      <c r="D37" s="25"/>
      <c r="E37" s="25"/>
      <c r="F37" s="54" t="s">
        <v>80</v>
      </c>
      <c r="G37" s="63"/>
      <c r="H37" s="63"/>
      <c r="I37" s="63"/>
      <c r="J37" s="23">
        <f t="shared" ref="J37:L37" si="3">round(counta(J6:J36)*100/(row()-6),0)</f>
        <v>0</v>
      </c>
      <c r="K37" s="23">
        <f t="shared" si="3"/>
        <v>0</v>
      </c>
      <c r="L37" s="23">
        <f t="shared" si="3"/>
        <v>100</v>
      </c>
      <c r="M37" s="64"/>
      <c r="N37" s="65"/>
      <c r="O37" s="65"/>
      <c r="P37" s="8"/>
      <c r="Q37" s="8"/>
    </row>
    <row r="38">
      <c r="A38" s="66"/>
      <c r="B38" s="8"/>
      <c r="C38" s="17"/>
      <c r="D38" s="8"/>
      <c r="E38" s="8"/>
      <c r="F38" s="8"/>
      <c r="G38" s="8"/>
      <c r="H38" s="8"/>
      <c r="I38" s="8"/>
      <c r="J38" s="8"/>
      <c r="K38" s="8"/>
      <c r="L38" s="8"/>
      <c r="M38" s="8"/>
      <c r="N38" s="8"/>
      <c r="O38" s="8"/>
      <c r="P38" s="8"/>
      <c r="Q38" s="8"/>
    </row>
    <row r="39">
      <c r="A39" s="66"/>
      <c r="B39" s="8"/>
      <c r="C39" s="17"/>
      <c r="D39" s="8"/>
      <c r="E39" s="8"/>
      <c r="F39" s="8"/>
      <c r="G39" s="8"/>
      <c r="H39" s="8"/>
      <c r="I39" s="8"/>
      <c r="J39" s="8"/>
      <c r="K39" s="8"/>
      <c r="L39" s="8"/>
      <c r="M39" s="8"/>
      <c r="N39" s="8"/>
      <c r="O39" s="8"/>
      <c r="P39" s="8"/>
      <c r="Q39" s="8"/>
    </row>
    <row r="40">
      <c r="A40" s="66"/>
      <c r="B40" s="8"/>
      <c r="C40" s="17"/>
      <c r="D40" s="8"/>
      <c r="E40" s="8"/>
      <c r="F40" s="8"/>
      <c r="G40" s="8"/>
      <c r="H40" s="8"/>
      <c r="I40" s="8"/>
      <c r="J40" s="8"/>
      <c r="K40" s="8"/>
      <c r="L40" s="8"/>
      <c r="M40" s="8"/>
      <c r="N40" s="8"/>
      <c r="O40" s="8"/>
      <c r="P40" s="8"/>
      <c r="Q40" s="8"/>
    </row>
    <row r="41">
      <c r="A41" s="66"/>
      <c r="B41" s="8"/>
      <c r="C41" s="17"/>
      <c r="D41" s="8"/>
      <c r="E41" s="8"/>
      <c r="F41" s="8"/>
      <c r="G41" s="8"/>
      <c r="H41" s="8"/>
      <c r="I41" s="8"/>
      <c r="J41" s="8"/>
      <c r="K41" s="8"/>
      <c r="L41" s="8"/>
      <c r="M41" s="8"/>
      <c r="N41" s="8"/>
      <c r="O41" s="8"/>
      <c r="P41" s="8"/>
      <c r="Q41" s="8"/>
    </row>
    <row r="42">
      <c r="A42" s="67" t="str">
        <f>IFERROR(__xludf.DUMMYFUNCTION("CONCAT(SPLIT(G1, "")"", FALSE), "")"")"),"LD 2026-1 Pass 3 (StartDate: 27/Jan/2025)")</f>
        <v>LD 2026-1 Pass 3 (StartDate: 27/Jan/2025)</v>
      </c>
      <c r="B42" s="68"/>
      <c r="C42" s="68"/>
      <c r="D42" s="69"/>
      <c r="E42" s="8"/>
      <c r="F42" s="8"/>
      <c r="G42" s="8"/>
      <c r="H42" s="8"/>
      <c r="I42" s="8"/>
      <c r="J42" s="8"/>
      <c r="K42" s="8"/>
      <c r="L42" s="8"/>
      <c r="M42" s="8"/>
      <c r="N42" s="8"/>
      <c r="O42" s="8"/>
      <c r="P42" s="8"/>
      <c r="Q42" s="8"/>
    </row>
    <row r="43">
      <c r="A43" s="62"/>
      <c r="B43" s="70" t="s">
        <v>5</v>
      </c>
      <c r="C43" s="70" t="s">
        <v>81</v>
      </c>
      <c r="D43" s="70" t="s">
        <v>7</v>
      </c>
      <c r="E43" s="8"/>
      <c r="F43" s="8"/>
      <c r="G43" s="8"/>
      <c r="H43" s="8"/>
      <c r="I43" s="8"/>
      <c r="J43" s="8"/>
      <c r="K43" s="8"/>
      <c r="L43" s="8"/>
      <c r="M43" s="8"/>
      <c r="N43" s="8"/>
      <c r="O43" s="8"/>
      <c r="P43" s="8"/>
      <c r="Q43" s="8"/>
    </row>
    <row r="44">
      <c r="A44" s="71" t="s">
        <v>82</v>
      </c>
      <c r="B44" s="25">
        <f>IF(AND(G4 &lt;&gt; "Not Tested", G4 &lt;&gt; ""), COUNTIF(G6:G34, "OK"), 0)</f>
        <v>0</v>
      </c>
      <c r="C44" s="25">
        <f>IF(AND(H4 &lt;&gt; "Not Tested", H4 &lt;&gt; "") , COUNTIF(H6:H34, "OK"), 0)</f>
        <v>0</v>
      </c>
      <c r="D44" s="25">
        <f>IF(AND(I4 &lt;&gt; "Not Tested", I4 &lt;&gt; ""), COUNTIF(I6:I34, "OK"), 0)</f>
        <v>0</v>
      </c>
      <c r="E44" s="8"/>
      <c r="F44" s="8"/>
      <c r="G44" s="8"/>
      <c r="H44" s="8"/>
      <c r="I44" s="8"/>
      <c r="J44" s="8"/>
      <c r="K44" s="8"/>
      <c r="L44" s="8"/>
      <c r="M44" s="8"/>
      <c r="N44" s="8"/>
      <c r="O44" s="8"/>
      <c r="P44" s="8"/>
      <c r="Q44" s="8"/>
    </row>
    <row r="45">
      <c r="A45" s="71" t="s">
        <v>83</v>
      </c>
      <c r="B45" s="25">
        <f t="shared" ref="B45:D45" si="4">IF(AND(G4 &lt;&gt; "Not Tested", G4 &lt;&gt; ""), SUM(COUNTIF(G6:G34, "SS-*"),COUNTIF(G6:G34, "PANEL-*"),COUNTIF(G6:G34, "SHARED-*"),COUNTIF(G6:G34, "ENUM-*"),COUNTIF(G6:G34, "ACAS-*"),COUNTIF(G6:G34, "SKETCH-*")), 0)</f>
        <v>0</v>
      </c>
      <c r="C45" s="25">
        <f t="shared" si="4"/>
        <v>0</v>
      </c>
      <c r="D45" s="25">
        <f t="shared" si="4"/>
        <v>0</v>
      </c>
      <c r="E45" s="8"/>
      <c r="F45" s="8"/>
      <c r="G45" s="8"/>
      <c r="H45" s="8"/>
      <c r="I45" s="8"/>
      <c r="J45" s="8"/>
      <c r="K45" s="8"/>
      <c r="L45" s="8"/>
      <c r="M45" s="8"/>
      <c r="N45" s="8"/>
      <c r="O45" s="8"/>
      <c r="P45" s="8"/>
      <c r="Q45" s="8"/>
    </row>
    <row r="46">
      <c r="A46" s="71" t="s">
        <v>84</v>
      </c>
      <c r="B46" s="25">
        <f t="shared" ref="B46:D46" si="5">IF(AND(G4 &lt;&gt; "Not Tested", G4 &lt;&gt; ""), COUNTIF(G6:G34, "Not Tested"), 0)</f>
        <v>0</v>
      </c>
      <c r="C46" s="25">
        <f t="shared" si="5"/>
        <v>0</v>
      </c>
      <c r="D46" s="25">
        <f t="shared" si="5"/>
        <v>0</v>
      </c>
      <c r="E46" s="8"/>
      <c r="F46" s="8"/>
      <c r="G46" s="8"/>
      <c r="H46" s="8"/>
      <c r="I46" s="8"/>
      <c r="J46" s="8"/>
      <c r="K46" s="8"/>
      <c r="L46" s="8"/>
      <c r="M46" s="8"/>
      <c r="N46" s="8"/>
      <c r="O46" s="8"/>
      <c r="P46" s="8"/>
      <c r="Q46" s="8"/>
    </row>
    <row r="47">
      <c r="A47" s="71" t="s">
        <v>85</v>
      </c>
      <c r="B47" s="25">
        <f t="shared" ref="B47:D47" si="6">IF(AND(G4 &lt;&gt; "Not Tested", G4 &lt;&gt; ""), COUNTIF(G6:G34, ""), 0)</f>
        <v>0</v>
      </c>
      <c r="C47" s="25">
        <f t="shared" si="6"/>
        <v>22</v>
      </c>
      <c r="D47" s="25">
        <f t="shared" si="6"/>
        <v>0</v>
      </c>
      <c r="E47" s="8"/>
      <c r="F47" s="8"/>
      <c r="G47" s="8"/>
      <c r="H47" s="8"/>
      <c r="I47" s="8"/>
      <c r="J47" s="8"/>
      <c r="K47" s="8"/>
      <c r="L47" s="8"/>
      <c r="M47" s="8"/>
      <c r="N47" s="8"/>
      <c r="O47" s="8"/>
      <c r="P47" s="8"/>
      <c r="Q47" s="8"/>
    </row>
    <row r="48">
      <c r="A48" s="66"/>
      <c r="B48" s="8"/>
      <c r="C48" s="17"/>
      <c r="D48" s="8"/>
      <c r="E48" s="8"/>
      <c r="F48" s="8"/>
      <c r="G48" s="8"/>
      <c r="H48" s="8"/>
      <c r="I48" s="8"/>
      <c r="J48" s="8"/>
      <c r="K48" s="8"/>
      <c r="L48" s="8"/>
      <c r="M48" s="8"/>
      <c r="N48" s="8"/>
      <c r="O48" s="8"/>
      <c r="P48" s="8"/>
      <c r="Q48" s="8"/>
    </row>
    <row r="49">
      <c r="A49" s="66"/>
      <c r="B49" s="8"/>
      <c r="C49" s="17"/>
      <c r="D49" s="8"/>
      <c r="E49" s="8"/>
      <c r="F49" s="8"/>
      <c r="G49" s="8"/>
      <c r="H49" s="8"/>
      <c r="I49" s="8"/>
      <c r="J49" s="8"/>
      <c r="K49" s="8"/>
      <c r="L49" s="8"/>
      <c r="M49" s="8"/>
      <c r="N49" s="8"/>
      <c r="O49" s="8"/>
      <c r="P49" s="8"/>
      <c r="Q49" s="8"/>
    </row>
    <row r="50">
      <c r="A50" s="72" t="s">
        <v>86</v>
      </c>
      <c r="B50" s="68"/>
      <c r="C50" s="68"/>
      <c r="D50" s="68"/>
      <c r="E50" s="69"/>
      <c r="F50" s="8"/>
      <c r="G50" s="8"/>
      <c r="H50" s="8"/>
      <c r="I50" s="8"/>
      <c r="J50" s="8"/>
      <c r="K50" s="8"/>
      <c r="L50" s="8"/>
      <c r="M50" s="8"/>
      <c r="N50" s="8"/>
      <c r="O50" s="8"/>
      <c r="P50" s="8"/>
      <c r="Q50" s="8"/>
    </row>
    <row r="51">
      <c r="A51" s="71" t="s">
        <v>8</v>
      </c>
      <c r="B51" s="25"/>
      <c r="C51" s="73"/>
      <c r="D51" s="25"/>
      <c r="E51" s="70" t="s">
        <v>87</v>
      </c>
      <c r="F51" s="8"/>
      <c r="G51" s="8"/>
      <c r="H51" s="8"/>
      <c r="I51" s="8"/>
      <c r="J51" s="8"/>
      <c r="K51" s="8"/>
      <c r="L51" s="8"/>
      <c r="M51" s="8"/>
      <c r="N51" s="8"/>
      <c r="O51" s="8"/>
      <c r="P51" s="8"/>
      <c r="Q51" s="8"/>
    </row>
    <row r="52">
      <c r="A52" s="74" t="s">
        <v>88</v>
      </c>
      <c r="B52" s="25"/>
      <c r="C52" s="73"/>
      <c r="D52" s="25"/>
      <c r="E52" s="75" t="s">
        <v>24</v>
      </c>
      <c r="F52" s="8"/>
      <c r="G52" s="8"/>
      <c r="H52" s="8"/>
      <c r="I52" s="8"/>
      <c r="J52" s="8"/>
      <c r="K52" s="8"/>
      <c r="L52" s="8"/>
      <c r="M52" s="8"/>
      <c r="N52" s="8"/>
      <c r="O52" s="8"/>
      <c r="P52" s="8"/>
      <c r="Q52" s="8"/>
    </row>
    <row r="53">
      <c r="A53" s="76" t="s">
        <v>89</v>
      </c>
      <c r="B53" s="25"/>
      <c r="C53" s="73"/>
      <c r="D53" s="25"/>
      <c r="E53" s="77" t="s">
        <v>13</v>
      </c>
      <c r="F53" s="8"/>
      <c r="G53" s="8"/>
      <c r="H53" s="8"/>
      <c r="I53" s="8"/>
      <c r="J53" s="8"/>
      <c r="K53" s="8"/>
      <c r="L53" s="8"/>
      <c r="M53" s="8"/>
      <c r="N53" s="8"/>
      <c r="O53" s="8"/>
      <c r="P53" s="8"/>
      <c r="Q53" s="8"/>
    </row>
    <row r="54">
      <c r="A54" s="78" t="s">
        <v>90</v>
      </c>
      <c r="B54" s="25"/>
      <c r="C54" s="73"/>
      <c r="D54" s="25"/>
      <c r="E54" s="79" t="s">
        <v>91</v>
      </c>
      <c r="F54" s="8"/>
      <c r="G54" s="8"/>
      <c r="H54" s="8"/>
      <c r="I54" s="8"/>
      <c r="J54" s="8"/>
      <c r="K54" s="8"/>
      <c r="L54" s="8"/>
      <c r="M54" s="8"/>
      <c r="N54" s="8"/>
      <c r="O54" s="8"/>
      <c r="P54" s="8"/>
      <c r="Q54" s="8"/>
    </row>
    <row r="55">
      <c r="A55" s="80" t="s">
        <v>92</v>
      </c>
      <c r="B55" s="25"/>
      <c r="C55" s="73"/>
      <c r="D55" s="25"/>
      <c r="E55" s="81" t="s">
        <v>10</v>
      </c>
      <c r="F55" s="8"/>
      <c r="G55" s="8"/>
      <c r="H55" s="8"/>
      <c r="I55" s="8"/>
      <c r="J55" s="8"/>
      <c r="K55" s="8"/>
      <c r="L55" s="8"/>
      <c r="M55" s="8"/>
      <c r="N55" s="8"/>
      <c r="O55" s="8"/>
      <c r="P55" s="8"/>
      <c r="Q55" s="8"/>
    </row>
    <row r="56">
      <c r="A56" s="82" t="s">
        <v>93</v>
      </c>
      <c r="B56" s="25"/>
      <c r="C56" s="73"/>
      <c r="D56" s="25"/>
      <c r="E56" s="83" t="s">
        <v>94</v>
      </c>
      <c r="F56" s="8"/>
      <c r="G56" s="8"/>
      <c r="H56" s="8"/>
      <c r="I56" s="8"/>
      <c r="J56" s="8"/>
      <c r="K56" s="8"/>
      <c r="L56" s="8"/>
      <c r="M56" s="8"/>
      <c r="N56" s="8"/>
      <c r="O56" s="8"/>
      <c r="P56" s="8"/>
      <c r="Q56" s="8"/>
    </row>
    <row r="57">
      <c r="A57" s="84" t="s">
        <v>95</v>
      </c>
      <c r="B57" s="25"/>
      <c r="C57" s="73"/>
      <c r="D57" s="25"/>
      <c r="E57" s="85" t="s">
        <v>11</v>
      </c>
      <c r="F57" s="8"/>
      <c r="G57" s="8"/>
      <c r="H57" s="8"/>
      <c r="I57" s="8"/>
      <c r="J57" s="8"/>
      <c r="K57" s="8"/>
      <c r="L57" s="8"/>
      <c r="M57" s="8"/>
      <c r="N57" s="8"/>
      <c r="O57" s="8"/>
      <c r="P57" s="8"/>
      <c r="Q57" s="8"/>
    </row>
    <row r="58">
      <c r="A58" s="86" t="s">
        <v>96</v>
      </c>
      <c r="B58" s="25"/>
      <c r="C58" s="73"/>
      <c r="D58" s="25"/>
      <c r="E58" s="87" t="s">
        <v>97</v>
      </c>
      <c r="F58" s="8"/>
      <c r="G58" s="8"/>
      <c r="H58" s="8"/>
      <c r="I58" s="8"/>
      <c r="J58" s="8"/>
      <c r="K58" s="8"/>
      <c r="L58" s="8"/>
      <c r="M58" s="8"/>
      <c r="N58" s="8"/>
      <c r="O58" s="8"/>
      <c r="P58" s="8"/>
      <c r="Q58" s="8"/>
    </row>
    <row r="59">
      <c r="A59" s="88" t="s">
        <v>98</v>
      </c>
      <c r="B59" s="25"/>
      <c r="C59" s="73"/>
      <c r="D59" s="25"/>
      <c r="E59" s="89" t="s">
        <v>12</v>
      </c>
      <c r="F59" s="8"/>
      <c r="G59" s="8"/>
      <c r="H59" s="8"/>
      <c r="I59" s="8"/>
      <c r="J59" s="8"/>
      <c r="K59" s="8"/>
      <c r="L59" s="8"/>
      <c r="M59" s="8"/>
      <c r="N59" s="8"/>
      <c r="O59" s="8"/>
      <c r="P59" s="8"/>
      <c r="Q59" s="8"/>
    </row>
    <row r="60">
      <c r="A60" s="90" t="s">
        <v>99</v>
      </c>
      <c r="B60" s="25"/>
      <c r="C60" s="73"/>
      <c r="D60" s="25"/>
      <c r="E60" s="91" t="s">
        <v>100</v>
      </c>
      <c r="F60" s="8"/>
      <c r="G60" s="8"/>
      <c r="H60" s="8"/>
      <c r="I60" s="8"/>
      <c r="J60" s="8"/>
      <c r="K60" s="8"/>
      <c r="L60" s="8"/>
      <c r="M60" s="8"/>
      <c r="N60" s="8"/>
      <c r="O60" s="8"/>
      <c r="P60" s="8"/>
      <c r="Q60" s="8"/>
    </row>
    <row r="61">
      <c r="A61" s="92" t="s">
        <v>101</v>
      </c>
      <c r="B61" s="25"/>
      <c r="C61" s="73"/>
      <c r="D61" s="25"/>
      <c r="E61" s="25"/>
      <c r="F61" s="8"/>
      <c r="G61" s="8"/>
      <c r="H61" s="8"/>
      <c r="I61" s="8"/>
      <c r="J61" s="8"/>
      <c r="K61" s="8"/>
      <c r="L61" s="8"/>
      <c r="M61" s="8"/>
      <c r="N61" s="8"/>
      <c r="O61" s="8"/>
      <c r="P61" s="8"/>
      <c r="Q61" s="8"/>
    </row>
    <row r="62">
      <c r="A62" s="93" t="s">
        <v>102</v>
      </c>
      <c r="B62" s="25"/>
      <c r="C62" s="73"/>
      <c r="D62" s="25"/>
      <c r="E62" s="25"/>
      <c r="F62" s="8"/>
      <c r="G62" s="8"/>
      <c r="H62" s="8"/>
      <c r="I62" s="8"/>
      <c r="J62" s="8"/>
      <c r="K62" s="8"/>
      <c r="L62" s="8"/>
      <c r="M62" s="8"/>
      <c r="N62" s="8"/>
      <c r="O62" s="8"/>
      <c r="P62" s="8"/>
      <c r="Q62" s="8"/>
    </row>
    <row r="63">
      <c r="A63" s="94" t="s">
        <v>103</v>
      </c>
      <c r="B63" s="25"/>
      <c r="C63" s="73"/>
      <c r="D63" s="25"/>
      <c r="E63" s="25"/>
      <c r="F63" s="8"/>
      <c r="G63" s="8"/>
      <c r="H63" s="8"/>
      <c r="I63" s="8"/>
      <c r="J63" s="8"/>
      <c r="K63" s="8"/>
      <c r="L63" s="8"/>
      <c r="M63" s="8"/>
      <c r="N63" s="8"/>
      <c r="O63" s="8"/>
      <c r="P63" s="8"/>
      <c r="Q63" s="8"/>
    </row>
    <row r="64">
      <c r="A64" s="95" t="s">
        <v>104</v>
      </c>
      <c r="B64" s="25"/>
      <c r="C64" s="73"/>
      <c r="D64" s="25"/>
      <c r="E64" s="25"/>
      <c r="F64" s="8"/>
      <c r="G64" s="8"/>
      <c r="H64" s="8"/>
      <c r="I64" s="8"/>
      <c r="J64" s="8"/>
      <c r="K64" s="8"/>
      <c r="L64" s="8"/>
      <c r="M64" s="8"/>
      <c r="N64" s="8"/>
      <c r="O64" s="8"/>
      <c r="P64" s="8"/>
      <c r="Q64" s="8"/>
    </row>
    <row r="65">
      <c r="A65" s="96" t="s">
        <v>105</v>
      </c>
      <c r="B65" s="25"/>
      <c r="C65" s="73"/>
      <c r="D65" s="25"/>
      <c r="E65" s="25"/>
      <c r="F65" s="8"/>
      <c r="G65" s="8"/>
      <c r="H65" s="8"/>
      <c r="I65" s="8"/>
      <c r="J65" s="8"/>
      <c r="K65" s="8"/>
      <c r="L65" s="8"/>
      <c r="M65" s="8"/>
      <c r="N65" s="8"/>
      <c r="O65" s="8"/>
      <c r="P65" s="8"/>
      <c r="Q65" s="8"/>
    </row>
    <row r="66">
      <c r="A66" s="97" t="s">
        <v>106</v>
      </c>
      <c r="B66" s="25"/>
      <c r="C66" s="73"/>
      <c r="D66" s="25"/>
      <c r="E66" s="25"/>
      <c r="F66" s="8"/>
      <c r="G66" s="8"/>
      <c r="H66" s="8"/>
      <c r="I66" s="8"/>
      <c r="J66" s="8"/>
      <c r="K66" s="8"/>
      <c r="L66" s="8"/>
      <c r="M66" s="8"/>
      <c r="N66" s="8"/>
      <c r="O66" s="8"/>
      <c r="P66" s="8"/>
      <c r="Q66" s="8"/>
    </row>
    <row r="67">
      <c r="A67" s="66"/>
      <c r="B67" s="8"/>
      <c r="C67" s="17"/>
      <c r="D67" s="8"/>
      <c r="E67" s="8"/>
      <c r="F67" s="8"/>
      <c r="G67" s="8"/>
      <c r="H67" s="8"/>
      <c r="I67" s="8"/>
      <c r="J67" s="8"/>
      <c r="K67" s="8"/>
      <c r="L67" s="8"/>
      <c r="M67" s="8"/>
      <c r="N67" s="8"/>
      <c r="O67" s="8"/>
      <c r="P67" s="8"/>
      <c r="Q67" s="8"/>
    </row>
    <row r="68">
      <c r="A68" s="66"/>
      <c r="B68" s="8"/>
      <c r="C68" s="17"/>
      <c r="D68" s="8"/>
      <c r="E68" s="8"/>
      <c r="F68" s="8"/>
      <c r="G68" s="8"/>
      <c r="H68" s="8"/>
      <c r="I68" s="8"/>
      <c r="J68" s="8"/>
      <c r="K68" s="8"/>
      <c r="L68" s="8"/>
      <c r="M68" s="8"/>
      <c r="N68" s="8"/>
      <c r="O68" s="8"/>
      <c r="P68" s="8"/>
      <c r="Q68" s="8"/>
    </row>
    <row r="69">
      <c r="A69" s="66"/>
      <c r="B69" s="8"/>
      <c r="C69" s="17"/>
      <c r="D69" s="8"/>
      <c r="E69" s="8"/>
      <c r="F69" s="8"/>
      <c r="G69" s="8"/>
      <c r="H69" s="8"/>
      <c r="I69" s="8"/>
      <c r="J69" s="8"/>
      <c r="K69" s="8"/>
      <c r="L69" s="8"/>
      <c r="M69" s="8"/>
      <c r="N69" s="8"/>
      <c r="O69" s="8"/>
      <c r="P69" s="8"/>
      <c r="Q69" s="8"/>
    </row>
    <row r="70">
      <c r="A70" s="66"/>
      <c r="B70" s="8"/>
      <c r="C70" s="17"/>
      <c r="D70" s="8"/>
      <c r="E70" s="8"/>
      <c r="F70" s="8"/>
      <c r="G70" s="8"/>
      <c r="H70" s="8"/>
      <c r="I70" s="8"/>
      <c r="J70" s="8"/>
      <c r="K70" s="8"/>
      <c r="L70" s="8"/>
      <c r="M70" s="8"/>
      <c r="N70" s="8"/>
      <c r="O70" s="8"/>
      <c r="P70" s="8"/>
      <c r="Q70" s="8"/>
    </row>
    <row r="71">
      <c r="A71" s="66"/>
      <c r="B71" s="8"/>
      <c r="C71" s="17"/>
      <c r="D71" s="8"/>
      <c r="E71" s="8"/>
      <c r="F71" s="8"/>
      <c r="G71" s="8"/>
      <c r="H71" s="8"/>
      <c r="I71" s="8"/>
      <c r="J71" s="8"/>
      <c r="K71" s="8"/>
      <c r="L71" s="8"/>
      <c r="M71" s="8"/>
      <c r="N71" s="8"/>
      <c r="O71" s="8"/>
      <c r="P71" s="8"/>
      <c r="Q71" s="8"/>
    </row>
    <row r="72">
      <c r="A72" s="66"/>
      <c r="B72" s="8"/>
      <c r="C72" s="17"/>
      <c r="D72" s="8"/>
      <c r="E72" s="8"/>
      <c r="F72" s="8"/>
      <c r="G72" s="8"/>
      <c r="H72" s="8"/>
      <c r="I72" s="8"/>
      <c r="J72" s="8"/>
      <c r="K72" s="8"/>
      <c r="L72" s="8"/>
      <c r="M72" s="8"/>
      <c r="N72" s="8"/>
      <c r="O72" s="8"/>
      <c r="P72" s="8"/>
      <c r="Q72" s="8"/>
    </row>
    <row r="73">
      <c r="A73" s="66"/>
      <c r="B73" s="8"/>
      <c r="C73" s="17"/>
      <c r="D73" s="8"/>
      <c r="E73" s="8"/>
      <c r="F73" s="8"/>
      <c r="G73" s="8"/>
      <c r="H73" s="8"/>
      <c r="I73" s="8"/>
      <c r="J73" s="8"/>
      <c r="K73" s="8"/>
      <c r="L73" s="8"/>
      <c r="M73" s="8"/>
      <c r="N73" s="8"/>
      <c r="O73" s="8"/>
      <c r="P73" s="8"/>
      <c r="Q73" s="8"/>
    </row>
    <row r="74">
      <c r="A74" s="66"/>
      <c r="B74" s="8"/>
      <c r="C74" s="17"/>
      <c r="D74" s="8"/>
      <c r="E74" s="8"/>
      <c r="F74" s="8"/>
      <c r="G74" s="8"/>
      <c r="H74" s="8"/>
      <c r="I74" s="8"/>
      <c r="J74" s="8"/>
      <c r="K74" s="8"/>
      <c r="L74" s="8"/>
      <c r="M74" s="8"/>
      <c r="N74" s="8"/>
      <c r="O74" s="8"/>
      <c r="P74" s="8"/>
      <c r="Q74" s="8"/>
    </row>
    <row r="75">
      <c r="A75" s="66"/>
      <c r="B75" s="8"/>
      <c r="C75" s="17"/>
      <c r="D75" s="8"/>
      <c r="E75" s="8"/>
      <c r="F75" s="8"/>
      <c r="G75" s="8"/>
      <c r="H75" s="8"/>
      <c r="I75" s="8"/>
      <c r="J75" s="8"/>
      <c r="K75" s="8"/>
      <c r="L75" s="8"/>
      <c r="M75" s="8"/>
      <c r="N75" s="8"/>
      <c r="O75" s="8"/>
      <c r="P75" s="8"/>
      <c r="Q75" s="8"/>
    </row>
    <row r="76">
      <c r="A76" s="66"/>
      <c r="B76" s="8"/>
      <c r="C76" s="17"/>
      <c r="D76" s="8"/>
      <c r="E76" s="8"/>
      <c r="F76" s="8"/>
      <c r="G76" s="8"/>
      <c r="H76" s="8"/>
      <c r="I76" s="8"/>
      <c r="J76" s="8"/>
      <c r="K76" s="8"/>
      <c r="L76" s="8"/>
      <c r="M76" s="8"/>
      <c r="N76" s="8"/>
      <c r="O76" s="8"/>
      <c r="P76" s="8"/>
      <c r="Q76" s="8"/>
    </row>
    <row r="77">
      <c r="A77" s="66"/>
      <c r="B77" s="8"/>
      <c r="C77" s="17"/>
      <c r="D77" s="8"/>
      <c r="E77" s="8"/>
      <c r="F77" s="8"/>
      <c r="G77" s="8"/>
      <c r="H77" s="8"/>
      <c r="I77" s="8"/>
      <c r="J77" s="8"/>
      <c r="K77" s="8"/>
      <c r="L77" s="8"/>
      <c r="M77" s="8"/>
      <c r="N77" s="8"/>
      <c r="O77" s="8"/>
      <c r="P77" s="8"/>
      <c r="Q77" s="8"/>
    </row>
    <row r="78">
      <c r="A78" s="66"/>
      <c r="B78" s="8"/>
      <c r="C78" s="17"/>
      <c r="D78" s="8"/>
      <c r="E78" s="8"/>
      <c r="F78" s="8"/>
      <c r="G78" s="8"/>
      <c r="H78" s="8"/>
      <c r="I78" s="8"/>
      <c r="J78" s="8"/>
      <c r="K78" s="8"/>
      <c r="L78" s="8"/>
      <c r="M78" s="8"/>
      <c r="N78" s="8"/>
      <c r="O78" s="8"/>
      <c r="P78" s="8"/>
      <c r="Q78" s="8"/>
    </row>
    <row r="79">
      <c r="A79" s="66"/>
      <c r="B79" s="8"/>
      <c r="C79" s="17"/>
      <c r="D79" s="8"/>
      <c r="E79" s="8"/>
      <c r="F79" s="8"/>
      <c r="G79" s="8"/>
      <c r="H79" s="8"/>
      <c r="I79" s="8"/>
      <c r="J79" s="8"/>
      <c r="K79" s="8"/>
      <c r="L79" s="8"/>
      <c r="M79" s="8"/>
      <c r="N79" s="8"/>
      <c r="O79" s="8"/>
      <c r="P79" s="8"/>
      <c r="Q79" s="8"/>
    </row>
    <row r="80">
      <c r="A80" s="66"/>
      <c r="B80" s="8"/>
      <c r="C80" s="17"/>
      <c r="D80" s="8"/>
      <c r="E80" s="8"/>
      <c r="F80" s="8"/>
      <c r="G80" s="8"/>
      <c r="H80" s="8"/>
      <c r="I80" s="8"/>
      <c r="J80" s="8"/>
      <c r="K80" s="8"/>
      <c r="L80" s="8"/>
      <c r="M80" s="8"/>
      <c r="N80" s="8"/>
      <c r="O80" s="8"/>
      <c r="P80" s="8"/>
      <c r="Q80" s="8"/>
    </row>
    <row r="81">
      <c r="A81" s="66"/>
      <c r="B81" s="8"/>
      <c r="C81" s="17"/>
      <c r="D81" s="8"/>
      <c r="E81" s="8"/>
      <c r="F81" s="8"/>
      <c r="G81" s="8"/>
      <c r="H81" s="8"/>
      <c r="I81" s="8"/>
      <c r="J81" s="8"/>
      <c r="K81" s="8"/>
      <c r="L81" s="8"/>
      <c r="M81" s="8"/>
      <c r="N81" s="8"/>
      <c r="O81" s="8"/>
      <c r="P81" s="8"/>
      <c r="Q81" s="8"/>
    </row>
    <row r="82">
      <c r="A82" s="66"/>
      <c r="B82" s="8"/>
      <c r="C82" s="17"/>
      <c r="D82" s="8"/>
      <c r="E82" s="8"/>
      <c r="F82" s="8"/>
      <c r="G82" s="8"/>
      <c r="H82" s="8"/>
      <c r="I82" s="8"/>
      <c r="J82" s="8"/>
      <c r="K82" s="8"/>
      <c r="L82" s="8"/>
      <c r="M82" s="8"/>
      <c r="N82" s="8"/>
      <c r="O82" s="8"/>
      <c r="P82" s="8"/>
      <c r="Q82" s="8"/>
    </row>
    <row r="83">
      <c r="A83" s="66"/>
      <c r="B83" s="8"/>
      <c r="C83" s="17"/>
      <c r="D83" s="8"/>
      <c r="E83" s="8"/>
      <c r="F83" s="8"/>
      <c r="G83" s="8"/>
      <c r="H83" s="8"/>
      <c r="I83" s="8"/>
      <c r="J83" s="8"/>
      <c r="K83" s="8"/>
      <c r="L83" s="8"/>
      <c r="M83" s="8"/>
      <c r="N83" s="8"/>
      <c r="O83" s="8"/>
      <c r="P83" s="8"/>
      <c r="Q83" s="8"/>
    </row>
    <row r="84">
      <c r="A84" s="66"/>
      <c r="B84" s="8"/>
      <c r="C84" s="17"/>
      <c r="D84" s="8"/>
      <c r="E84" s="8"/>
      <c r="F84" s="8"/>
      <c r="G84" s="8"/>
      <c r="H84" s="8"/>
      <c r="I84" s="8"/>
      <c r="J84" s="8"/>
      <c r="K84" s="8"/>
      <c r="L84" s="8"/>
      <c r="M84" s="8"/>
      <c r="N84" s="8"/>
      <c r="O84" s="8"/>
      <c r="P84" s="8"/>
      <c r="Q84" s="8"/>
    </row>
    <row r="85">
      <c r="A85" s="66"/>
      <c r="B85" s="8"/>
      <c r="C85" s="17"/>
      <c r="D85" s="8"/>
      <c r="E85" s="8"/>
      <c r="F85" s="8"/>
      <c r="G85" s="8"/>
      <c r="H85" s="8"/>
      <c r="I85" s="8"/>
      <c r="J85" s="8"/>
      <c r="K85" s="8"/>
      <c r="L85" s="8"/>
      <c r="M85" s="8"/>
      <c r="N85" s="8"/>
      <c r="O85" s="8"/>
      <c r="P85" s="8"/>
      <c r="Q85" s="8"/>
    </row>
    <row r="86">
      <c r="A86" s="66"/>
      <c r="B86" s="8"/>
      <c r="C86" s="17"/>
      <c r="D86" s="8"/>
      <c r="E86" s="8"/>
      <c r="F86" s="8"/>
      <c r="G86" s="8"/>
      <c r="H86" s="8"/>
      <c r="I86" s="8"/>
      <c r="J86" s="8"/>
      <c r="K86" s="8"/>
      <c r="L86" s="8"/>
      <c r="M86" s="8"/>
      <c r="N86" s="8"/>
      <c r="O86" s="8"/>
      <c r="P86" s="8"/>
      <c r="Q86" s="8"/>
    </row>
    <row r="87">
      <c r="A87" s="66"/>
      <c r="B87" s="8"/>
      <c r="C87" s="17"/>
      <c r="D87" s="8"/>
      <c r="E87" s="8"/>
      <c r="F87" s="8"/>
      <c r="G87" s="8"/>
      <c r="H87" s="8"/>
      <c r="I87" s="8"/>
      <c r="J87" s="8"/>
      <c r="K87" s="8"/>
      <c r="L87" s="8"/>
      <c r="M87" s="8"/>
      <c r="N87" s="8"/>
      <c r="O87" s="8"/>
      <c r="P87" s="8"/>
      <c r="Q87" s="8"/>
    </row>
    <row r="88">
      <c r="A88" s="66"/>
      <c r="B88" s="8"/>
      <c r="C88" s="17"/>
      <c r="D88" s="8"/>
      <c r="E88" s="8"/>
      <c r="F88" s="8"/>
      <c r="G88" s="8"/>
      <c r="H88" s="8"/>
      <c r="I88" s="8"/>
      <c r="J88" s="8"/>
      <c r="K88" s="8"/>
      <c r="L88" s="8"/>
      <c r="M88" s="8"/>
      <c r="N88" s="8"/>
      <c r="O88" s="8"/>
      <c r="P88" s="8"/>
      <c r="Q88" s="8"/>
    </row>
    <row r="89">
      <c r="A89" s="66"/>
      <c r="B89" s="8"/>
      <c r="C89" s="17"/>
      <c r="D89" s="8"/>
      <c r="E89" s="8"/>
      <c r="F89" s="8"/>
      <c r="G89" s="8"/>
      <c r="H89" s="8"/>
      <c r="I89" s="8"/>
      <c r="J89" s="8"/>
      <c r="K89" s="8"/>
      <c r="L89" s="8"/>
      <c r="M89" s="8"/>
      <c r="N89" s="8"/>
      <c r="O89" s="8"/>
      <c r="P89" s="8"/>
      <c r="Q89" s="8"/>
    </row>
    <row r="90">
      <c r="A90" s="66"/>
      <c r="B90" s="8"/>
      <c r="C90" s="17"/>
      <c r="D90" s="8"/>
      <c r="E90" s="8"/>
      <c r="F90" s="8"/>
      <c r="G90" s="8"/>
      <c r="H90" s="8"/>
      <c r="I90" s="8"/>
      <c r="J90" s="8"/>
      <c r="K90" s="8"/>
      <c r="L90" s="8"/>
      <c r="M90" s="8"/>
      <c r="N90" s="8"/>
      <c r="O90" s="8"/>
      <c r="P90" s="8"/>
      <c r="Q90" s="8"/>
    </row>
    <row r="91">
      <c r="A91" s="66"/>
      <c r="B91" s="8"/>
      <c r="C91" s="17"/>
      <c r="D91" s="8"/>
      <c r="E91" s="8"/>
      <c r="F91" s="8"/>
      <c r="G91" s="8"/>
      <c r="H91" s="8"/>
      <c r="I91" s="8"/>
      <c r="J91" s="8"/>
      <c r="K91" s="8"/>
      <c r="L91" s="8"/>
      <c r="M91" s="8"/>
      <c r="N91" s="8"/>
      <c r="O91" s="8"/>
      <c r="P91" s="8"/>
      <c r="Q91" s="8"/>
    </row>
    <row r="92">
      <c r="A92" s="66"/>
      <c r="B92" s="8"/>
      <c r="C92" s="17"/>
      <c r="D92" s="8"/>
      <c r="E92" s="8"/>
      <c r="F92" s="8"/>
      <c r="G92" s="8"/>
      <c r="H92" s="8"/>
      <c r="I92" s="8"/>
      <c r="J92" s="8"/>
      <c r="K92" s="8"/>
      <c r="L92" s="8"/>
      <c r="M92" s="8"/>
      <c r="N92" s="8"/>
      <c r="O92" s="8"/>
      <c r="P92" s="8"/>
      <c r="Q92" s="8"/>
    </row>
    <row r="93">
      <c r="A93" s="66"/>
      <c r="B93" s="8"/>
      <c r="C93" s="17"/>
      <c r="D93" s="8"/>
      <c r="E93" s="8"/>
      <c r="F93" s="8"/>
      <c r="G93" s="8"/>
      <c r="H93" s="8"/>
      <c r="I93" s="8"/>
      <c r="J93" s="8"/>
      <c r="K93" s="8"/>
      <c r="L93" s="8"/>
      <c r="M93" s="8"/>
      <c r="N93" s="8"/>
      <c r="O93" s="8"/>
      <c r="P93" s="8"/>
      <c r="Q93" s="8"/>
    </row>
    <row r="94">
      <c r="A94" s="66"/>
      <c r="B94" s="8"/>
      <c r="C94" s="17"/>
      <c r="D94" s="8"/>
      <c r="E94" s="8"/>
      <c r="F94" s="8"/>
      <c r="G94" s="8"/>
      <c r="H94" s="8"/>
      <c r="I94" s="8"/>
      <c r="J94" s="8"/>
      <c r="K94" s="8"/>
      <c r="L94" s="8"/>
      <c r="M94" s="8"/>
      <c r="N94" s="8"/>
      <c r="O94" s="8"/>
      <c r="P94" s="8"/>
      <c r="Q94" s="8"/>
    </row>
    <row r="95">
      <c r="A95" s="66"/>
      <c r="B95" s="8"/>
      <c r="C95" s="17"/>
      <c r="D95" s="8"/>
      <c r="E95" s="8"/>
      <c r="F95" s="8"/>
      <c r="G95" s="8"/>
      <c r="H95" s="8"/>
      <c r="I95" s="8"/>
      <c r="J95" s="8"/>
      <c r="K95" s="8"/>
      <c r="L95" s="8"/>
      <c r="M95" s="8"/>
      <c r="N95" s="8"/>
      <c r="O95" s="8"/>
      <c r="P95" s="8"/>
      <c r="Q95" s="8"/>
    </row>
    <row r="96">
      <c r="A96" s="66"/>
      <c r="B96" s="8"/>
      <c r="C96" s="17"/>
      <c r="D96" s="8"/>
      <c r="E96" s="8"/>
      <c r="F96" s="8"/>
      <c r="G96" s="8"/>
      <c r="H96" s="8"/>
      <c r="I96" s="8"/>
      <c r="J96" s="8"/>
      <c r="K96" s="8"/>
      <c r="L96" s="8"/>
      <c r="M96" s="8"/>
      <c r="N96" s="8"/>
      <c r="O96" s="8"/>
      <c r="P96" s="8"/>
      <c r="Q96" s="8"/>
    </row>
    <row r="97">
      <c r="A97" s="66"/>
      <c r="B97" s="8"/>
      <c r="C97" s="17"/>
      <c r="D97" s="8"/>
      <c r="E97" s="8"/>
      <c r="F97" s="8"/>
      <c r="G97" s="8"/>
      <c r="H97" s="8"/>
      <c r="I97" s="8"/>
      <c r="J97" s="8"/>
      <c r="K97" s="8"/>
      <c r="L97" s="8"/>
      <c r="M97" s="8"/>
      <c r="N97" s="8"/>
      <c r="O97" s="8"/>
      <c r="P97" s="8"/>
      <c r="Q97" s="8"/>
    </row>
    <row r="98">
      <c r="A98" s="66"/>
      <c r="B98" s="8"/>
      <c r="C98" s="17"/>
      <c r="D98" s="8"/>
      <c r="E98" s="8"/>
      <c r="F98" s="8"/>
      <c r="G98" s="8"/>
      <c r="H98" s="8"/>
      <c r="I98" s="8"/>
      <c r="J98" s="8"/>
      <c r="K98" s="8"/>
      <c r="L98" s="8"/>
      <c r="M98" s="8"/>
      <c r="N98" s="8"/>
      <c r="O98" s="8"/>
      <c r="P98" s="8"/>
      <c r="Q98" s="8"/>
    </row>
    <row r="99">
      <c r="A99" s="66"/>
      <c r="B99" s="8"/>
      <c r="C99" s="17"/>
      <c r="D99" s="8"/>
      <c r="E99" s="8"/>
      <c r="F99" s="8"/>
      <c r="G99" s="8"/>
      <c r="H99" s="8"/>
      <c r="I99" s="8"/>
      <c r="J99" s="8"/>
      <c r="K99" s="8"/>
      <c r="L99" s="8"/>
      <c r="M99" s="8"/>
      <c r="N99" s="8"/>
      <c r="O99" s="8"/>
      <c r="P99" s="8"/>
      <c r="Q99" s="8"/>
    </row>
    <row r="100">
      <c r="A100" s="66"/>
      <c r="B100" s="8"/>
      <c r="C100" s="17"/>
      <c r="D100" s="8"/>
      <c r="E100" s="8"/>
      <c r="F100" s="8"/>
      <c r="G100" s="8"/>
      <c r="H100" s="8"/>
      <c r="I100" s="8"/>
      <c r="J100" s="8"/>
      <c r="K100" s="8"/>
      <c r="L100" s="8"/>
      <c r="M100" s="8"/>
      <c r="N100" s="8"/>
      <c r="O100" s="8"/>
      <c r="P100" s="8"/>
      <c r="Q100" s="8"/>
    </row>
    <row r="101">
      <c r="A101" s="66"/>
      <c r="B101" s="8"/>
      <c r="C101" s="17"/>
      <c r="D101" s="8"/>
      <c r="E101" s="8"/>
      <c r="F101" s="8"/>
      <c r="G101" s="8"/>
      <c r="H101" s="8"/>
      <c r="I101" s="8"/>
      <c r="J101" s="8"/>
      <c r="K101" s="8"/>
      <c r="L101" s="8"/>
      <c r="M101" s="8"/>
      <c r="N101" s="8"/>
      <c r="O101" s="8"/>
      <c r="P101" s="8"/>
      <c r="Q101" s="8"/>
    </row>
    <row r="102">
      <c r="A102" s="66"/>
      <c r="B102" s="8"/>
      <c r="C102" s="17"/>
      <c r="D102" s="8"/>
      <c r="E102" s="8"/>
      <c r="F102" s="8"/>
      <c r="G102" s="8"/>
      <c r="H102" s="8"/>
      <c r="I102" s="8"/>
      <c r="J102" s="8"/>
      <c r="K102" s="8"/>
      <c r="L102" s="8"/>
      <c r="M102" s="8"/>
      <c r="N102" s="8"/>
      <c r="O102" s="8"/>
      <c r="P102" s="8"/>
      <c r="Q102" s="8"/>
    </row>
    <row r="103">
      <c r="A103" s="66"/>
      <c r="B103" s="8"/>
      <c r="C103" s="17"/>
      <c r="D103" s="8"/>
      <c r="E103" s="8"/>
      <c r="F103" s="8"/>
      <c r="G103" s="8"/>
      <c r="H103" s="8"/>
      <c r="I103" s="8"/>
      <c r="J103" s="8"/>
      <c r="K103" s="8"/>
      <c r="L103" s="8"/>
      <c r="M103" s="8"/>
      <c r="N103" s="8"/>
      <c r="O103" s="8"/>
      <c r="P103" s="8"/>
      <c r="Q103" s="8"/>
    </row>
    <row r="104">
      <c r="A104" s="66"/>
      <c r="B104" s="8"/>
      <c r="C104" s="17"/>
      <c r="D104" s="8"/>
      <c r="E104" s="8"/>
      <c r="F104" s="8"/>
      <c r="G104" s="8"/>
      <c r="H104" s="8"/>
      <c r="I104" s="8"/>
      <c r="J104" s="8"/>
      <c r="K104" s="8"/>
      <c r="L104" s="8"/>
      <c r="M104" s="8"/>
      <c r="N104" s="8"/>
      <c r="O104" s="8"/>
      <c r="P104" s="8"/>
      <c r="Q104" s="8"/>
    </row>
    <row r="105">
      <c r="A105" s="66"/>
      <c r="B105" s="8"/>
      <c r="C105" s="17"/>
      <c r="D105" s="8"/>
      <c r="E105" s="8"/>
      <c r="F105" s="8"/>
      <c r="G105" s="8"/>
      <c r="H105" s="8"/>
      <c r="I105" s="8"/>
      <c r="J105" s="8"/>
      <c r="K105" s="8"/>
      <c r="L105" s="8"/>
      <c r="M105" s="8"/>
      <c r="N105" s="8"/>
      <c r="O105" s="8"/>
      <c r="P105" s="8"/>
      <c r="Q105" s="8"/>
    </row>
    <row r="106">
      <c r="A106" s="66"/>
      <c r="B106" s="8"/>
      <c r="C106" s="17"/>
      <c r="D106" s="8"/>
      <c r="E106" s="8"/>
      <c r="F106" s="8"/>
      <c r="G106" s="8"/>
      <c r="H106" s="8"/>
      <c r="I106" s="8"/>
      <c r="J106" s="8"/>
      <c r="K106" s="8"/>
      <c r="L106" s="8"/>
      <c r="M106" s="8"/>
      <c r="N106" s="8"/>
      <c r="O106" s="8"/>
      <c r="P106" s="8"/>
      <c r="Q106" s="8"/>
    </row>
    <row r="107">
      <c r="A107" s="66"/>
      <c r="B107" s="8"/>
      <c r="C107" s="17"/>
      <c r="D107" s="8"/>
      <c r="E107" s="8"/>
      <c r="F107" s="8"/>
      <c r="G107" s="8"/>
      <c r="H107" s="8"/>
      <c r="I107" s="8"/>
      <c r="J107" s="8"/>
      <c r="K107" s="8"/>
      <c r="L107" s="8"/>
      <c r="M107" s="8"/>
      <c r="N107" s="8"/>
      <c r="O107" s="8"/>
      <c r="P107" s="8"/>
      <c r="Q107" s="8"/>
    </row>
    <row r="108">
      <c r="A108" s="66"/>
      <c r="B108" s="8"/>
      <c r="C108" s="17"/>
      <c r="D108" s="8"/>
      <c r="E108" s="8"/>
      <c r="F108" s="8"/>
      <c r="G108" s="8"/>
      <c r="H108" s="8"/>
      <c r="I108" s="8"/>
      <c r="J108" s="8"/>
      <c r="K108" s="8"/>
      <c r="L108" s="8"/>
      <c r="M108" s="8"/>
      <c r="N108" s="8"/>
      <c r="O108" s="8"/>
      <c r="P108" s="8"/>
      <c r="Q108" s="8"/>
    </row>
    <row r="109">
      <c r="A109" s="66"/>
      <c r="B109" s="8"/>
      <c r="C109" s="17"/>
      <c r="D109" s="8"/>
      <c r="E109" s="8"/>
      <c r="F109" s="8"/>
      <c r="G109" s="8"/>
      <c r="H109" s="8"/>
      <c r="I109" s="8"/>
      <c r="J109" s="8"/>
      <c r="K109" s="8"/>
      <c r="L109" s="8"/>
      <c r="M109" s="8"/>
      <c r="N109" s="8"/>
      <c r="O109" s="8"/>
      <c r="P109" s="8"/>
      <c r="Q109" s="8"/>
    </row>
    <row r="110">
      <c r="A110" s="66"/>
      <c r="B110" s="8"/>
      <c r="C110" s="17"/>
      <c r="D110" s="8"/>
      <c r="E110" s="8"/>
      <c r="F110" s="8"/>
      <c r="G110" s="8"/>
      <c r="H110" s="8"/>
      <c r="I110" s="8"/>
      <c r="J110" s="8"/>
      <c r="K110" s="8"/>
      <c r="L110" s="8"/>
      <c r="M110" s="8"/>
      <c r="N110" s="8"/>
      <c r="O110" s="8"/>
      <c r="P110" s="8"/>
      <c r="Q110" s="8"/>
    </row>
    <row r="111">
      <c r="A111" s="66"/>
      <c r="B111" s="8"/>
      <c r="C111" s="17"/>
      <c r="D111" s="8"/>
      <c r="E111" s="8"/>
      <c r="F111" s="8"/>
      <c r="G111" s="8"/>
      <c r="H111" s="8"/>
      <c r="I111" s="8"/>
      <c r="J111" s="8"/>
      <c r="K111" s="8"/>
      <c r="L111" s="8"/>
      <c r="M111" s="8"/>
      <c r="N111" s="8"/>
      <c r="O111" s="8"/>
      <c r="P111" s="8"/>
      <c r="Q111" s="8"/>
    </row>
    <row r="112">
      <c r="A112" s="66"/>
      <c r="B112" s="8"/>
      <c r="C112" s="17"/>
      <c r="D112" s="8"/>
      <c r="E112" s="8"/>
      <c r="F112" s="8"/>
      <c r="G112" s="8"/>
      <c r="H112" s="8"/>
      <c r="I112" s="8"/>
      <c r="J112" s="8"/>
      <c r="K112" s="8"/>
      <c r="L112" s="8"/>
      <c r="M112" s="8"/>
      <c r="N112" s="8"/>
      <c r="O112" s="8"/>
      <c r="P112" s="8"/>
      <c r="Q112" s="8"/>
    </row>
    <row r="113">
      <c r="A113" s="66"/>
      <c r="B113" s="8"/>
      <c r="C113" s="17"/>
      <c r="D113" s="8"/>
      <c r="E113" s="8"/>
      <c r="F113" s="8"/>
      <c r="G113" s="8"/>
      <c r="H113" s="8"/>
      <c r="I113" s="8"/>
      <c r="J113" s="8"/>
      <c r="K113" s="8"/>
      <c r="L113" s="8"/>
      <c r="M113" s="8"/>
      <c r="N113" s="8"/>
      <c r="O113" s="8"/>
      <c r="P113" s="8"/>
      <c r="Q113" s="8"/>
    </row>
    <row r="114">
      <c r="A114" s="66"/>
      <c r="B114" s="8"/>
      <c r="C114" s="17"/>
      <c r="D114" s="8"/>
      <c r="E114" s="8"/>
      <c r="F114" s="8"/>
      <c r="G114" s="8"/>
      <c r="H114" s="8"/>
      <c r="I114" s="8"/>
      <c r="J114" s="8"/>
      <c r="K114" s="8"/>
      <c r="L114" s="8"/>
      <c r="M114" s="8"/>
      <c r="N114" s="8"/>
      <c r="O114" s="8"/>
      <c r="P114" s="8"/>
      <c r="Q114" s="8"/>
    </row>
    <row r="115">
      <c r="A115" s="66"/>
      <c r="B115" s="8"/>
      <c r="C115" s="17"/>
      <c r="D115" s="8"/>
      <c r="E115" s="8"/>
      <c r="F115" s="8"/>
      <c r="G115" s="8"/>
      <c r="H115" s="8"/>
      <c r="I115" s="8"/>
      <c r="J115" s="8"/>
      <c r="K115" s="8"/>
      <c r="L115" s="8"/>
      <c r="M115" s="8"/>
      <c r="N115" s="8"/>
      <c r="O115" s="8"/>
      <c r="P115" s="8"/>
      <c r="Q115" s="8"/>
    </row>
    <row r="116">
      <c r="A116" s="66"/>
      <c r="B116" s="8"/>
      <c r="C116" s="17"/>
      <c r="D116" s="8"/>
      <c r="E116" s="8"/>
      <c r="F116" s="8"/>
      <c r="G116" s="8"/>
      <c r="H116" s="8"/>
      <c r="I116" s="8"/>
      <c r="J116" s="8"/>
      <c r="K116" s="8"/>
      <c r="L116" s="8"/>
      <c r="M116" s="8"/>
      <c r="N116" s="8"/>
      <c r="O116" s="8"/>
      <c r="P116" s="8"/>
      <c r="Q116" s="8"/>
    </row>
    <row r="117">
      <c r="A117" s="66"/>
      <c r="B117" s="8"/>
      <c r="C117" s="17"/>
      <c r="D117" s="8"/>
      <c r="E117" s="8"/>
      <c r="F117" s="8"/>
      <c r="G117" s="8"/>
      <c r="H117" s="8"/>
      <c r="I117" s="8"/>
      <c r="J117" s="8"/>
      <c r="K117" s="8"/>
      <c r="L117" s="8"/>
      <c r="M117" s="8"/>
      <c r="N117" s="8"/>
      <c r="O117" s="8"/>
      <c r="P117" s="8"/>
      <c r="Q117" s="8"/>
    </row>
    <row r="118">
      <c r="A118" s="66"/>
      <c r="B118" s="8"/>
      <c r="C118" s="17"/>
      <c r="D118" s="8"/>
      <c r="E118" s="8"/>
      <c r="F118" s="8"/>
      <c r="G118" s="8"/>
      <c r="H118" s="8"/>
      <c r="I118" s="8"/>
      <c r="J118" s="8"/>
      <c r="K118" s="8"/>
      <c r="L118" s="8"/>
      <c r="M118" s="8"/>
      <c r="N118" s="8"/>
      <c r="O118" s="8"/>
      <c r="P118" s="8"/>
      <c r="Q118" s="8"/>
    </row>
    <row r="119">
      <c r="A119" s="66"/>
      <c r="B119" s="8"/>
      <c r="C119" s="17"/>
      <c r="D119" s="8"/>
      <c r="E119" s="8"/>
      <c r="F119" s="8"/>
      <c r="G119" s="8"/>
      <c r="H119" s="8"/>
      <c r="I119" s="8"/>
      <c r="J119" s="8"/>
      <c r="K119" s="8"/>
      <c r="L119" s="8"/>
      <c r="M119" s="8"/>
      <c r="N119" s="8"/>
      <c r="O119" s="8"/>
      <c r="P119" s="8"/>
      <c r="Q119" s="8"/>
    </row>
    <row r="120">
      <c r="A120" s="66"/>
      <c r="B120" s="8"/>
      <c r="C120" s="17"/>
      <c r="D120" s="8"/>
      <c r="E120" s="8"/>
      <c r="F120" s="8"/>
      <c r="G120" s="8"/>
      <c r="H120" s="8"/>
      <c r="I120" s="8"/>
      <c r="J120" s="8"/>
      <c r="K120" s="8"/>
      <c r="L120" s="8"/>
      <c r="M120" s="8"/>
      <c r="N120" s="8"/>
      <c r="O120" s="8"/>
      <c r="P120" s="8"/>
      <c r="Q120" s="8"/>
    </row>
    <row r="121">
      <c r="A121" s="66"/>
      <c r="B121" s="8"/>
      <c r="C121" s="17"/>
      <c r="D121" s="8"/>
      <c r="E121" s="8"/>
      <c r="F121" s="8"/>
      <c r="G121" s="8"/>
      <c r="H121" s="8"/>
      <c r="I121" s="8"/>
      <c r="J121" s="8"/>
      <c r="K121" s="8"/>
      <c r="L121" s="8"/>
      <c r="M121" s="8"/>
      <c r="N121" s="8"/>
      <c r="O121" s="8"/>
      <c r="P121" s="8"/>
      <c r="Q121" s="8"/>
    </row>
    <row r="122">
      <c r="A122" s="66"/>
      <c r="B122" s="8"/>
      <c r="C122" s="17"/>
      <c r="D122" s="8"/>
      <c r="E122" s="8"/>
      <c r="F122" s="8"/>
      <c r="G122" s="8"/>
      <c r="H122" s="8"/>
      <c r="I122" s="8"/>
      <c r="J122" s="8"/>
      <c r="K122" s="8"/>
      <c r="L122" s="8"/>
      <c r="M122" s="8"/>
      <c r="N122" s="8"/>
      <c r="O122" s="8"/>
      <c r="P122" s="8"/>
      <c r="Q122" s="8"/>
    </row>
    <row r="123">
      <c r="A123" s="66"/>
      <c r="B123" s="8"/>
      <c r="C123" s="17"/>
      <c r="D123" s="8"/>
      <c r="E123" s="8"/>
      <c r="F123" s="8"/>
      <c r="G123" s="8"/>
      <c r="H123" s="8"/>
      <c r="I123" s="8"/>
      <c r="J123" s="8"/>
      <c r="K123" s="8"/>
      <c r="L123" s="8"/>
      <c r="M123" s="8"/>
      <c r="N123" s="8"/>
      <c r="O123" s="8"/>
      <c r="P123" s="8"/>
      <c r="Q123" s="8"/>
    </row>
    <row r="124">
      <c r="A124" s="66"/>
      <c r="B124" s="8"/>
      <c r="C124" s="17"/>
      <c r="D124" s="8"/>
      <c r="E124" s="8"/>
      <c r="F124" s="8"/>
      <c r="G124" s="8"/>
      <c r="H124" s="8"/>
      <c r="I124" s="8"/>
      <c r="J124" s="8"/>
      <c r="K124" s="8"/>
      <c r="L124" s="8"/>
      <c r="M124" s="8"/>
      <c r="N124" s="8"/>
      <c r="O124" s="8"/>
      <c r="P124" s="8"/>
      <c r="Q124" s="8"/>
    </row>
    <row r="125">
      <c r="A125" s="66"/>
      <c r="B125" s="8"/>
      <c r="C125" s="17"/>
      <c r="D125" s="8"/>
      <c r="E125" s="8"/>
      <c r="F125" s="8"/>
      <c r="G125" s="8"/>
      <c r="H125" s="8"/>
      <c r="I125" s="8"/>
      <c r="J125" s="8"/>
      <c r="K125" s="8"/>
      <c r="L125" s="8"/>
      <c r="M125" s="8"/>
      <c r="N125" s="8"/>
      <c r="O125" s="8"/>
      <c r="P125" s="8"/>
      <c r="Q125" s="8"/>
    </row>
    <row r="126">
      <c r="A126" s="66"/>
      <c r="B126" s="8"/>
      <c r="C126" s="17"/>
      <c r="D126" s="8"/>
      <c r="E126" s="8"/>
      <c r="F126" s="8"/>
      <c r="G126" s="8"/>
      <c r="H126" s="8"/>
      <c r="I126" s="8"/>
      <c r="J126" s="8"/>
      <c r="K126" s="8"/>
      <c r="L126" s="8"/>
      <c r="M126" s="8"/>
      <c r="N126" s="8"/>
      <c r="O126" s="8"/>
      <c r="P126" s="8"/>
      <c r="Q126" s="8"/>
    </row>
    <row r="127">
      <c r="A127" s="66"/>
      <c r="B127" s="8"/>
      <c r="C127" s="17"/>
      <c r="D127" s="8"/>
      <c r="E127" s="8"/>
      <c r="F127" s="8"/>
      <c r="G127" s="8"/>
      <c r="H127" s="8"/>
      <c r="I127" s="8"/>
      <c r="J127" s="8"/>
      <c r="K127" s="8"/>
      <c r="L127" s="8"/>
      <c r="M127" s="8"/>
      <c r="N127" s="8"/>
      <c r="O127" s="8"/>
      <c r="P127" s="8"/>
      <c r="Q127" s="8"/>
    </row>
  </sheetData>
  <mergeCells count="14">
    <mergeCell ref="B22:B25"/>
    <mergeCell ref="B26:B27"/>
    <mergeCell ref="A29:A31"/>
    <mergeCell ref="B29:B31"/>
    <mergeCell ref="A32:A36"/>
    <mergeCell ref="A42:D42"/>
    <mergeCell ref="A50:E50"/>
    <mergeCell ref="G1:I1"/>
    <mergeCell ref="J1:L1"/>
    <mergeCell ref="M1:O1"/>
    <mergeCell ref="A6:A28"/>
    <mergeCell ref="B7:B9"/>
    <mergeCell ref="B10:B14"/>
    <mergeCell ref="B18:B21"/>
  </mergeCells>
  <conditionalFormatting sqref="B3:D3 G4:O4">
    <cfRule type="cellIs" dxfId="0" priority="1" stopIfTrue="1" operator="equal">
      <formula>"Amrita"</formula>
    </cfRule>
  </conditionalFormatting>
  <conditionalFormatting sqref="B3:D3 G4:O4">
    <cfRule type="cellIs" dxfId="1" priority="2" stopIfTrue="1" operator="equal">
      <formula>"Soumya"</formula>
    </cfRule>
  </conditionalFormatting>
  <conditionalFormatting sqref="B3:D3 G4:O4">
    <cfRule type="cellIs" dxfId="2" priority="3" stopIfTrue="1" operator="equal">
      <formula>"Hannah"</formula>
    </cfRule>
  </conditionalFormatting>
  <conditionalFormatting sqref="B3:D3 G4:O4">
    <cfRule type="cellIs" dxfId="3" priority="4" stopIfTrue="1" operator="equal">
      <formula>"Naga Lakshmi"</formula>
    </cfRule>
  </conditionalFormatting>
  <conditionalFormatting sqref="B3:D3 G4:O4">
    <cfRule type="cellIs" dxfId="4" priority="5" stopIfTrue="1" operator="equal">
      <formula>"Aditya"</formula>
    </cfRule>
  </conditionalFormatting>
  <conditionalFormatting sqref="B3:D3 G4:O4">
    <cfRule type="cellIs" dxfId="5" priority="6" stopIfTrue="1" operator="equal">
      <formula>"Sakshi"</formula>
    </cfRule>
  </conditionalFormatting>
  <conditionalFormatting sqref="B3:D3 G4:O4">
    <cfRule type="cellIs" dxfId="6" priority="7" stopIfTrue="1" operator="equal">
      <formula>"Abdul"</formula>
    </cfRule>
  </conditionalFormatting>
  <conditionalFormatting sqref="B3:D3 G4:O4">
    <cfRule type="cellIs" dxfId="7" priority="8" stopIfTrue="1" operator="equal">
      <formula>"Sourabh"</formula>
    </cfRule>
  </conditionalFormatting>
  <conditionalFormatting sqref="B3:D3 G4:O4">
    <cfRule type="cellIs" dxfId="8" priority="9" stopIfTrue="1" operator="equal">
      <formula>"Prachi"</formula>
    </cfRule>
  </conditionalFormatting>
  <conditionalFormatting sqref="B3:D3 G4:O4">
    <cfRule type="cellIs" dxfId="9" priority="10" stopIfTrue="1" operator="equal">
      <formula>"Vishnu"</formula>
    </cfRule>
  </conditionalFormatting>
  <conditionalFormatting sqref="B3:D3 G4:O4">
    <cfRule type="cellIs" dxfId="10" priority="11" stopIfTrue="1" operator="equal">
      <formula>"Ivy"</formula>
    </cfRule>
  </conditionalFormatting>
  <conditionalFormatting sqref="B3:D3 G4:O4">
    <cfRule type="cellIs" dxfId="11" priority="12" stopIfTrue="1" operator="equal">
      <formula>"Rupal"</formula>
    </cfRule>
  </conditionalFormatting>
  <conditionalFormatting sqref="B3:D3 G4:O4">
    <cfRule type="cellIs" dxfId="12" priority="13" stopIfTrue="1" operator="equal">
      <formula>"Soumyajit"</formula>
    </cfRule>
  </conditionalFormatting>
  <conditionalFormatting sqref="B3:D3 G4:O4">
    <cfRule type="cellIs" dxfId="13" priority="14" stopIfTrue="1" operator="equal">
      <formula>"Propali"</formula>
    </cfRule>
  </conditionalFormatting>
  <conditionalFormatting sqref="B3:D3 G4:O4">
    <cfRule type="cellIs" dxfId="14" priority="15" stopIfTrue="1" operator="equal">
      <formula>"Akshay"</formula>
    </cfRule>
  </conditionalFormatting>
  <conditionalFormatting sqref="B3:D3 G4:O4">
    <cfRule type="cellIs" dxfId="15" priority="16" stopIfTrue="1" operator="equal">
      <formula>"Nachiket"</formula>
    </cfRule>
  </conditionalFormatting>
  <conditionalFormatting sqref="G6:O37">
    <cfRule type="cellIs" dxfId="16" priority="17" stopIfTrue="1" operator="equal">
      <formula>"OK"</formula>
    </cfRule>
  </conditionalFormatting>
  <conditionalFormatting sqref="G6:O37">
    <cfRule type="cellIs" dxfId="16" priority="18" stopIfTrue="1" operator="equal">
      <formula>"AUTO_PASS"</formula>
    </cfRule>
  </conditionalFormatting>
  <conditionalFormatting sqref="G6:O37">
    <cfRule type="cellIs" dxfId="17" priority="19" stopIfTrue="1" operator="equal">
      <formula>"AUTO_FAIL"</formula>
    </cfRule>
  </conditionalFormatting>
  <conditionalFormatting sqref="B3:D3 G4:O4 G6:O37">
    <cfRule type="cellIs" dxfId="18" priority="20" stopIfTrue="1" operator="equal">
      <formula>"Not Tested"</formula>
    </cfRule>
  </conditionalFormatting>
  <conditionalFormatting sqref="G6:O37">
    <cfRule type="cellIs" dxfId="19" priority="21" stopIfTrue="1" operator="equal">
      <formula>"N/A"</formula>
    </cfRule>
  </conditionalFormatting>
  <conditionalFormatting sqref="B2:D2 G3:O3">
    <cfRule type="containsText" dxfId="20" priority="22" stopIfTrue="1" operator="containsText" text="Incomplete">
      <formula>NOT(ISERROR(SEARCH(("Incomplete"),(B2))))</formula>
    </cfRule>
  </conditionalFormatting>
  <conditionalFormatting sqref="B2:D2 G3:O3">
    <cfRule type="containsText" dxfId="17" priority="23" stopIfTrue="1" operator="containsText" text="Broken">
      <formula>NOT(ISERROR(SEARCH(("Broken"),(B2))))</formula>
    </cfRule>
  </conditionalFormatting>
  <conditionalFormatting sqref="B2:D2 G3:O3">
    <cfRule type="containsText" dxfId="21" priority="24" stopIfTrue="1" operator="containsText" text="Some problems">
      <formula>NOT(ISERROR(SEARCH(("Some problems"),(B2))))</formula>
    </cfRule>
  </conditionalFormatting>
  <conditionalFormatting sqref="B2:D2 G3:O3">
    <cfRule type="containsText" dxfId="22" priority="25" stopIfTrue="1" operator="containsText" text="All OK">
      <formula>NOT(ISERROR(SEARCH(("All OK"),(B2))))</formula>
    </cfRule>
  </conditionalFormatting>
  <conditionalFormatting sqref="B2:D2 G3:O3">
    <cfRule type="containsText" dxfId="23" priority="26" stopIfTrue="1" operator="containsText" text="In Progress">
      <formula>NOT(ISERROR(SEARCH(("In Progress"),(B2))))</formula>
    </cfRule>
  </conditionalFormatting>
  <conditionalFormatting sqref="B2:D2 G3:O3">
    <cfRule type="containsText" dxfId="24" priority="27" stopIfTrue="1" operator="containsText" text="Not Tested">
      <formula>NOT(ISERROR(SEARCH(("Not Tested"),(B2))))</formula>
    </cfRule>
  </conditionalFormatting>
  <dataValidations>
    <dataValidation type="custom" allowBlank="1" showDropDown="1" showInputMessage="1" showErrorMessage="1" prompt="Invalid Entry. The Value should either be OK,Not Tested,N/A,Filter or JIRA Case Number. For anything else,put comments." sqref="G6:O36 G37:I37">
      <formula1>IF(REGEXMATCH(TO_TEXT(G6),"OK|AUTO_PASS|AUTO_XPASS|AUTO_FAIL|AUTO_SKIP|Not Tested|N/A|Filter|BROKEN|(^SS|PANEL|SKETCH|SHARED|ACAS|ENUM|LDL|AD|LDIMPORT|LDGRID|LDID8|LDSEARCH|LDTOOLS|LDADMIN|LDSCALE|LDINFRA|LDPREM|LDCOSTS)-[0-9]"),True,False)</formula1>
    </dataValidation>
    <dataValidation type="list" allowBlank="1" showInputMessage="1" showErrorMessage="1" prompt="Invalid Status" sqref="G3:O3">
      <formula1>"Incomplete,Broken,All OK,Some problems,Not Tested,In Progress"</formula1>
    </dataValidation>
  </dataValidations>
  <hyperlinks>
    <hyperlink r:id="rId1" ref="D6"/>
    <hyperlink r:id="rId2" ref="F7"/>
    <hyperlink r:id="rId3" ref="D8"/>
    <hyperlink r:id="rId4" ref="F8"/>
    <hyperlink r:id="rId5" ref="F10"/>
    <hyperlink r:id="rId6" ref="F11"/>
    <hyperlink r:id="rId7" ref="F14"/>
    <hyperlink r:id="rId8" ref="D17"/>
    <hyperlink r:id="rId9" ref="F17"/>
    <hyperlink r:id="rId10" ref="D19"/>
    <hyperlink r:id="rId11" ref="F19"/>
    <hyperlink r:id="rId12" ref="F28"/>
    <hyperlink r:id="rId13" ref="D29"/>
    <hyperlink r:id="rId14" ref="D30"/>
    <hyperlink r:id="rId15" ref="D31"/>
    <hyperlink r:id="rId16" ref="F32"/>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107</v>
      </c>
      <c r="B1" s="2" t="s">
        <v>108</v>
      </c>
      <c r="C1" s="2" t="s">
        <v>109</v>
      </c>
      <c r="D1" s="2" t="s">
        <v>110</v>
      </c>
      <c r="E1" s="3"/>
      <c r="F1" s="4" t="s">
        <v>0</v>
      </c>
      <c r="G1" s="5" t="s">
        <v>107</v>
      </c>
      <c r="H1" s="6"/>
      <c r="I1" s="7"/>
      <c r="J1" s="5" t="s">
        <v>111</v>
      </c>
      <c r="K1" s="6"/>
      <c r="L1" s="7"/>
    </row>
    <row r="2">
      <c r="A2" s="9"/>
      <c r="B2" s="10" t="s">
        <v>10</v>
      </c>
      <c r="C2" s="10" t="s">
        <v>112</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12</v>
      </c>
      <c r="I3" s="15" t="s">
        <v>10</v>
      </c>
      <c r="J3" s="15" t="s">
        <v>10</v>
      </c>
      <c r="K3" s="15" t="s">
        <v>11</v>
      </c>
      <c r="L3" s="15" t="s">
        <v>10</v>
      </c>
    </row>
    <row r="4">
      <c r="A4" s="16"/>
      <c r="B4" s="8"/>
      <c r="C4" s="17"/>
      <c r="D4" s="8"/>
      <c r="E4" s="8"/>
      <c r="F4" s="18"/>
      <c r="G4" s="15" t="s">
        <v>13</v>
      </c>
      <c r="H4" s="15" t="s">
        <v>14</v>
      </c>
      <c r="I4" s="15" t="s">
        <v>13</v>
      </c>
      <c r="J4" s="15" t="s">
        <v>13</v>
      </c>
      <c r="K4" s="15" t="s">
        <v>13</v>
      </c>
      <c r="L4" s="15" t="s">
        <v>14</v>
      </c>
    </row>
    <row r="5">
      <c r="A5" s="19" t="s">
        <v>15</v>
      </c>
      <c r="B5" s="20" t="s">
        <v>16</v>
      </c>
      <c r="C5" s="20" t="s">
        <v>17</v>
      </c>
      <c r="D5" s="21" t="s">
        <v>18</v>
      </c>
      <c r="E5" s="21" t="s">
        <v>19</v>
      </c>
      <c r="F5" s="22" t="s">
        <v>20</v>
      </c>
      <c r="G5" s="23"/>
      <c r="H5" s="23"/>
      <c r="I5" s="23"/>
      <c r="J5" s="23"/>
      <c r="K5" s="23"/>
      <c r="L5" s="23"/>
    </row>
    <row r="6">
      <c r="A6" s="24"/>
      <c r="B6" s="25"/>
      <c r="C6" s="26" t="s">
        <v>21</v>
      </c>
      <c r="D6" s="98" t="s">
        <v>22</v>
      </c>
      <c r="E6" s="8"/>
      <c r="F6" s="18"/>
      <c r="G6" s="28"/>
      <c r="H6" s="29" t="s">
        <v>23</v>
      </c>
      <c r="I6" s="28"/>
      <c r="J6" s="28"/>
      <c r="K6" s="29" t="s">
        <v>113</v>
      </c>
      <c r="L6" s="28"/>
    </row>
    <row r="7">
      <c r="A7" s="30"/>
      <c r="B7" s="31" t="s">
        <v>25</v>
      </c>
      <c r="C7" s="32" t="s">
        <v>26</v>
      </c>
      <c r="D7" s="8"/>
      <c r="E7" s="8"/>
      <c r="F7" s="99" t="s">
        <v>27</v>
      </c>
      <c r="G7" s="28"/>
      <c r="H7" s="34" t="s">
        <v>24</v>
      </c>
      <c r="I7" s="34"/>
      <c r="J7" s="28"/>
      <c r="K7" s="34" t="s">
        <v>24</v>
      </c>
      <c r="L7" s="34"/>
    </row>
    <row r="8">
      <c r="A8" s="30"/>
      <c r="B8" s="30"/>
      <c r="C8" s="32" t="s">
        <v>28</v>
      </c>
      <c r="D8" s="100" t="s">
        <v>29</v>
      </c>
      <c r="E8" s="8"/>
      <c r="F8" s="59" t="s">
        <v>30</v>
      </c>
      <c r="G8" s="28"/>
      <c r="H8" s="37" t="s">
        <v>23</v>
      </c>
      <c r="I8" s="37"/>
      <c r="J8" s="28"/>
      <c r="K8" s="37" t="s">
        <v>24</v>
      </c>
      <c r="L8" s="37"/>
    </row>
    <row r="9">
      <c r="A9" s="30"/>
      <c r="B9" s="38"/>
      <c r="C9" s="32" t="s">
        <v>31</v>
      </c>
      <c r="D9" s="8"/>
      <c r="E9" s="8"/>
      <c r="F9" s="18"/>
      <c r="G9" s="28"/>
      <c r="H9" s="39"/>
      <c r="I9" s="40"/>
      <c r="J9" s="28"/>
      <c r="K9" s="39" t="s">
        <v>24</v>
      </c>
      <c r="L9" s="40"/>
    </row>
    <row r="10">
      <c r="A10" s="30"/>
      <c r="B10" s="31" t="s">
        <v>32</v>
      </c>
      <c r="C10" s="32" t="s">
        <v>33</v>
      </c>
      <c r="D10" s="8"/>
      <c r="E10" s="8"/>
      <c r="F10" s="59" t="s">
        <v>34</v>
      </c>
      <c r="G10" s="28"/>
      <c r="H10" s="41"/>
      <c r="I10" s="40"/>
      <c r="J10" s="28"/>
      <c r="K10" s="41" t="s">
        <v>24</v>
      </c>
      <c r="L10" s="40"/>
    </row>
    <row r="11">
      <c r="A11" s="30"/>
      <c r="B11" s="30"/>
      <c r="C11" s="42" t="s">
        <v>35</v>
      </c>
      <c r="D11" s="8"/>
      <c r="E11" s="8"/>
      <c r="F11" s="99" t="s">
        <v>114</v>
      </c>
      <c r="G11" s="28"/>
      <c r="H11" s="43"/>
      <c r="I11" s="40"/>
      <c r="J11" s="28"/>
      <c r="K11" s="43" t="s">
        <v>24</v>
      </c>
      <c r="L11" s="40"/>
    </row>
    <row r="12">
      <c r="A12" s="30"/>
      <c r="B12" s="30"/>
      <c r="C12" s="32" t="s">
        <v>37</v>
      </c>
      <c r="D12" s="8"/>
      <c r="E12" s="8"/>
      <c r="F12" s="44"/>
      <c r="G12" s="28"/>
      <c r="H12" s="43"/>
      <c r="I12" s="43"/>
      <c r="J12" s="28"/>
      <c r="K12" s="43" t="s">
        <v>24</v>
      </c>
      <c r="L12" s="43"/>
    </row>
    <row r="13">
      <c r="A13" s="30"/>
      <c r="B13" s="30"/>
      <c r="C13" s="32" t="s">
        <v>38</v>
      </c>
      <c r="D13" s="8"/>
      <c r="E13" s="8"/>
      <c r="F13" s="44"/>
      <c r="G13" s="28"/>
      <c r="H13" s="43"/>
      <c r="I13" s="43"/>
      <c r="J13" s="28"/>
      <c r="K13" s="43" t="s">
        <v>24</v>
      </c>
      <c r="L13" s="43"/>
    </row>
    <row r="14">
      <c r="A14" s="30"/>
      <c r="B14" s="38"/>
      <c r="C14" s="32" t="s">
        <v>39</v>
      </c>
      <c r="D14" s="8"/>
      <c r="E14" s="8"/>
      <c r="F14" s="45" t="s">
        <v>40</v>
      </c>
      <c r="G14" s="28"/>
      <c r="H14" s="39"/>
      <c r="I14" s="40"/>
      <c r="J14" s="28"/>
      <c r="K14" s="39" t="s">
        <v>24</v>
      </c>
      <c r="L14" s="40"/>
    </row>
    <row r="15">
      <c r="A15" s="30"/>
      <c r="B15" s="42" t="s">
        <v>41</v>
      </c>
      <c r="C15" s="32" t="s">
        <v>42</v>
      </c>
      <c r="D15" s="8"/>
      <c r="E15" s="8"/>
      <c r="F15" s="18"/>
      <c r="G15" s="28"/>
      <c r="H15" s="46"/>
      <c r="I15" s="47"/>
      <c r="J15" s="28"/>
      <c r="K15" s="46" t="s">
        <v>24</v>
      </c>
      <c r="L15" s="47"/>
    </row>
    <row r="16">
      <c r="A16" s="30"/>
      <c r="B16" s="32"/>
      <c r="C16" s="32" t="s">
        <v>43</v>
      </c>
      <c r="D16" s="48" t="s">
        <v>44</v>
      </c>
      <c r="E16" s="8"/>
      <c r="F16" s="49"/>
      <c r="G16" s="28"/>
      <c r="H16" s="39"/>
      <c r="I16" s="43"/>
      <c r="J16" s="28"/>
      <c r="K16" s="39" t="s">
        <v>115</v>
      </c>
      <c r="L16" s="43"/>
    </row>
    <row r="17">
      <c r="A17" s="30"/>
      <c r="B17" s="32" t="s">
        <v>45</v>
      </c>
      <c r="C17" s="32" t="s">
        <v>46</v>
      </c>
      <c r="D17" s="98" t="s">
        <v>47</v>
      </c>
      <c r="E17" s="8"/>
      <c r="F17" s="49" t="s">
        <v>48</v>
      </c>
      <c r="G17" s="28"/>
      <c r="H17" s="39" t="s">
        <v>23</v>
      </c>
      <c r="I17" s="43"/>
      <c r="J17" s="28"/>
      <c r="K17" s="39" t="s">
        <v>24</v>
      </c>
      <c r="L17" s="43" t="s">
        <v>23</v>
      </c>
    </row>
    <row r="18">
      <c r="A18" s="30"/>
      <c r="B18" s="51" t="s">
        <v>49</v>
      </c>
      <c r="C18" s="32" t="s">
        <v>50</v>
      </c>
      <c r="D18" s="8"/>
      <c r="E18" s="8"/>
      <c r="F18" s="18"/>
      <c r="G18" s="28"/>
      <c r="H18" s="39"/>
      <c r="I18" s="40"/>
      <c r="J18" s="28"/>
      <c r="K18" s="39" t="s">
        <v>24</v>
      </c>
      <c r="L18" s="40"/>
    </row>
    <row r="19">
      <c r="A19" s="30"/>
      <c r="B19" s="30"/>
      <c r="C19" s="32" t="s">
        <v>51</v>
      </c>
      <c r="D19" s="98" t="s">
        <v>22</v>
      </c>
      <c r="E19" s="8"/>
      <c r="F19" s="49" t="s">
        <v>52</v>
      </c>
      <c r="G19" s="28"/>
      <c r="H19" s="39" t="s">
        <v>23</v>
      </c>
      <c r="I19" s="52"/>
      <c r="J19" s="28"/>
      <c r="K19" s="39" t="s">
        <v>24</v>
      </c>
      <c r="L19" s="52"/>
    </row>
    <row r="20">
      <c r="A20" s="30"/>
      <c r="B20" s="30"/>
      <c r="C20" s="32" t="s">
        <v>53</v>
      </c>
      <c r="D20" s="8"/>
      <c r="E20" s="8"/>
      <c r="F20" s="18"/>
      <c r="G20" s="28"/>
      <c r="H20" s="39"/>
      <c r="I20" s="52"/>
      <c r="J20" s="28"/>
      <c r="K20" s="39" t="s">
        <v>24</v>
      </c>
      <c r="L20" s="52"/>
    </row>
    <row r="21">
      <c r="A21" s="30"/>
      <c r="B21" s="38"/>
      <c r="C21" s="32" t="s">
        <v>54</v>
      </c>
      <c r="D21" s="8"/>
      <c r="E21" s="8"/>
      <c r="F21" s="18"/>
      <c r="G21" s="28"/>
      <c r="H21" s="28"/>
      <c r="I21" s="53"/>
      <c r="J21" s="28"/>
      <c r="K21" s="28" t="s">
        <v>24</v>
      </c>
      <c r="L21" s="53"/>
    </row>
    <row r="22">
      <c r="A22" s="30"/>
      <c r="B22" s="51" t="s">
        <v>55</v>
      </c>
      <c r="C22" s="32" t="s">
        <v>56</v>
      </c>
      <c r="D22" s="8"/>
      <c r="E22" s="8"/>
      <c r="F22" s="18"/>
      <c r="G22" s="28"/>
      <c r="H22" s="28"/>
      <c r="I22" s="28"/>
      <c r="J22" s="28"/>
      <c r="K22" s="28" t="s">
        <v>24</v>
      </c>
      <c r="L22" s="28"/>
    </row>
    <row r="23">
      <c r="A23" s="30"/>
      <c r="B23" s="30"/>
      <c r="C23" s="32" t="s">
        <v>57</v>
      </c>
      <c r="D23" s="8"/>
      <c r="E23" s="8"/>
      <c r="F23" s="18"/>
      <c r="G23" s="28"/>
      <c r="H23" s="28"/>
      <c r="I23" s="28"/>
      <c r="J23" s="28"/>
      <c r="K23" s="28" t="s">
        <v>24</v>
      </c>
      <c r="L23" s="28"/>
    </row>
    <row r="24">
      <c r="A24" s="30"/>
      <c r="B24" s="30"/>
      <c r="C24" s="54" t="s">
        <v>58</v>
      </c>
      <c r="D24" s="8"/>
      <c r="E24" s="8"/>
      <c r="F24" s="18"/>
      <c r="G24" s="28"/>
      <c r="H24" s="28"/>
      <c r="I24" s="40"/>
      <c r="J24" s="28"/>
      <c r="K24" s="28" t="s">
        <v>24</v>
      </c>
      <c r="L24" s="40"/>
    </row>
    <row r="25">
      <c r="A25" s="30"/>
      <c r="B25" s="38"/>
      <c r="C25" s="55" t="s">
        <v>59</v>
      </c>
      <c r="D25" s="8"/>
      <c r="E25" s="8"/>
      <c r="F25" s="18"/>
      <c r="G25" s="28"/>
      <c r="H25" s="28"/>
      <c r="I25" s="40"/>
      <c r="J25" s="28"/>
      <c r="K25" s="28" t="s">
        <v>24</v>
      </c>
      <c r="L25" s="40"/>
    </row>
    <row r="26">
      <c r="A26" s="30"/>
      <c r="B26" s="31" t="s">
        <v>60</v>
      </c>
      <c r="C26" s="32" t="s">
        <v>61</v>
      </c>
      <c r="D26" s="8"/>
      <c r="E26" s="8"/>
      <c r="F26" s="18"/>
      <c r="G26" s="28"/>
      <c r="H26" s="40"/>
      <c r="I26" s="28"/>
      <c r="J26" s="28"/>
      <c r="K26" s="40" t="s">
        <v>24</v>
      </c>
      <c r="L26" s="28"/>
    </row>
    <row r="27">
      <c r="A27" s="30"/>
      <c r="B27" s="38"/>
      <c r="C27" s="32" t="s">
        <v>62</v>
      </c>
      <c r="D27" s="8"/>
      <c r="E27" s="8"/>
      <c r="F27" s="18"/>
      <c r="G27" s="28"/>
      <c r="H27" s="40"/>
      <c r="I27" s="28"/>
      <c r="J27" s="28"/>
      <c r="K27" s="40" t="s">
        <v>24</v>
      </c>
      <c r="L27" s="28"/>
    </row>
    <row r="28">
      <c r="A28" s="38"/>
      <c r="B28" s="32" t="s">
        <v>63</v>
      </c>
      <c r="C28" s="32" t="s">
        <v>64</v>
      </c>
      <c r="D28" s="8"/>
      <c r="E28" s="8"/>
      <c r="F28" s="49" t="s">
        <v>65</v>
      </c>
      <c r="G28" s="28"/>
      <c r="H28" s="28"/>
      <c r="I28" s="40"/>
      <c r="J28" s="28"/>
      <c r="K28" s="28" t="s">
        <v>24</v>
      </c>
      <c r="L28" s="40"/>
    </row>
    <row r="29">
      <c r="A29" s="56" t="s">
        <v>66</v>
      </c>
      <c r="B29" s="31" t="s">
        <v>67</v>
      </c>
      <c r="C29" s="55" t="s">
        <v>68</v>
      </c>
      <c r="D29" s="98" t="s">
        <v>69</v>
      </c>
      <c r="E29" s="8"/>
      <c r="F29" s="49"/>
      <c r="G29" s="28"/>
      <c r="H29" s="28" t="s">
        <v>23</v>
      </c>
      <c r="I29" s="40"/>
      <c r="J29" s="28"/>
      <c r="K29" s="28" t="s">
        <v>24</v>
      </c>
      <c r="L29" s="40" t="s">
        <v>23</v>
      </c>
    </row>
    <row r="30">
      <c r="A30" s="30"/>
      <c r="B30" s="30"/>
      <c r="C30" s="32" t="s">
        <v>70</v>
      </c>
      <c r="D30" s="98" t="s">
        <v>69</v>
      </c>
      <c r="E30" s="8"/>
      <c r="F30" s="49"/>
      <c r="G30" s="28"/>
      <c r="H30" s="28" t="s">
        <v>23</v>
      </c>
      <c r="I30" s="40"/>
      <c r="J30" s="28"/>
      <c r="K30" s="28" t="s">
        <v>24</v>
      </c>
      <c r="L30" s="40" t="s">
        <v>23</v>
      </c>
    </row>
    <row r="31">
      <c r="A31" s="38"/>
      <c r="B31" s="38"/>
      <c r="C31" s="57" t="s">
        <v>71</v>
      </c>
      <c r="D31" s="98" t="s">
        <v>69</v>
      </c>
      <c r="E31" s="8"/>
      <c r="F31" s="49"/>
      <c r="G31" s="28"/>
      <c r="H31" s="28" t="s">
        <v>23</v>
      </c>
      <c r="I31" s="40"/>
      <c r="J31" s="28"/>
      <c r="K31" s="28" t="s">
        <v>24</v>
      </c>
      <c r="L31" s="40" t="s">
        <v>23</v>
      </c>
    </row>
    <row r="32">
      <c r="A32" s="56" t="s">
        <v>72</v>
      </c>
      <c r="B32" s="25"/>
      <c r="C32" s="55" t="s">
        <v>73</v>
      </c>
      <c r="D32" s="58" t="s">
        <v>74</v>
      </c>
      <c r="E32" s="58" t="s">
        <v>74</v>
      </c>
      <c r="F32" s="59" t="s">
        <v>75</v>
      </c>
      <c r="G32" s="28"/>
      <c r="H32" s="28"/>
      <c r="I32" s="28"/>
      <c r="J32" s="28"/>
      <c r="K32" s="28" t="s">
        <v>24</v>
      </c>
      <c r="L32" s="28"/>
    </row>
    <row r="33">
      <c r="A33" s="30"/>
      <c r="B33" s="25"/>
      <c r="C33" s="55" t="s">
        <v>76</v>
      </c>
      <c r="D33" s="58" t="s">
        <v>74</v>
      </c>
      <c r="E33" s="58" t="s">
        <v>74</v>
      </c>
      <c r="F33" s="59"/>
      <c r="G33" s="28"/>
      <c r="H33" s="28"/>
      <c r="I33" s="28"/>
      <c r="J33" s="28"/>
      <c r="K33" s="28" t="s">
        <v>24</v>
      </c>
      <c r="L33" s="28"/>
    </row>
    <row r="34">
      <c r="A34" s="30"/>
      <c r="B34" s="25"/>
      <c r="C34" s="32" t="s">
        <v>77</v>
      </c>
      <c r="D34" s="58" t="s">
        <v>74</v>
      </c>
      <c r="E34" s="58" t="s">
        <v>74</v>
      </c>
      <c r="F34" s="18"/>
      <c r="G34" s="28"/>
      <c r="H34" s="28"/>
      <c r="I34" s="28"/>
      <c r="J34" s="28"/>
      <c r="K34" s="28" t="s">
        <v>24</v>
      </c>
      <c r="L34" s="28"/>
    </row>
    <row r="35">
      <c r="A35" s="30"/>
      <c r="B35" s="25"/>
      <c r="C35" s="60" t="s">
        <v>78</v>
      </c>
      <c r="D35" s="58" t="s">
        <v>74</v>
      </c>
      <c r="E35" s="58" t="s">
        <v>74</v>
      </c>
      <c r="F35" s="8"/>
      <c r="G35" s="61"/>
      <c r="H35" s="28"/>
      <c r="I35" s="61"/>
      <c r="J35" s="61"/>
      <c r="K35" s="28" t="s">
        <v>24</v>
      </c>
      <c r="L35" s="61"/>
    </row>
    <row r="36">
      <c r="A36" s="38"/>
      <c r="B36" s="25"/>
      <c r="C36" s="32" t="s">
        <v>79</v>
      </c>
      <c r="D36" s="58" t="s">
        <v>74</v>
      </c>
      <c r="E36" s="58" t="s">
        <v>74</v>
      </c>
      <c r="F36" s="8"/>
      <c r="G36" s="61"/>
      <c r="H36" s="28"/>
      <c r="I36" s="61"/>
      <c r="J36" s="61"/>
      <c r="K36" s="28" t="s">
        <v>24</v>
      </c>
      <c r="L36" s="61"/>
    </row>
    <row r="37">
      <c r="A37" s="62"/>
      <c r="B37" s="25">
        <v>37.0</v>
      </c>
      <c r="C37" s="25" t="s">
        <v>116</v>
      </c>
      <c r="D37" s="25"/>
      <c r="E37" s="25"/>
      <c r="F37" s="54" t="s">
        <v>80</v>
      </c>
      <c r="G37" s="64"/>
      <c r="H37" s="8">
        <v>26.0</v>
      </c>
      <c r="I37" s="65"/>
      <c r="J37" s="64"/>
      <c r="K37" s="64"/>
      <c r="L37" s="65"/>
    </row>
    <row r="38">
      <c r="A38" s="66"/>
      <c r="B38" s="8"/>
      <c r="C38" s="17"/>
      <c r="D38" s="8"/>
      <c r="E38" s="8"/>
      <c r="F38" s="8"/>
      <c r="G38" s="8"/>
      <c r="H38" s="8"/>
      <c r="I38" s="8"/>
      <c r="J38" s="8"/>
      <c r="K38" s="8"/>
      <c r="L38" s="8"/>
    </row>
    <row r="39">
      <c r="A39" s="66"/>
      <c r="B39" s="8"/>
      <c r="C39" s="17"/>
      <c r="D39" s="8"/>
      <c r="E39" s="8"/>
      <c r="F39" s="8"/>
      <c r="G39" s="8"/>
      <c r="H39" s="8"/>
      <c r="I39" s="8"/>
      <c r="J39" s="8"/>
      <c r="K39" s="8"/>
      <c r="L39" s="8"/>
    </row>
    <row r="40">
      <c r="A40" s="66"/>
      <c r="B40" s="8"/>
      <c r="C40" s="17"/>
      <c r="D40" s="8"/>
      <c r="E40" s="8"/>
      <c r="F40" s="8"/>
      <c r="G40" s="8"/>
      <c r="H40" s="8"/>
      <c r="I40" s="8"/>
      <c r="J40" s="8"/>
      <c r="K40" s="8"/>
      <c r="L40" s="8"/>
    </row>
    <row r="41">
      <c r="A41" s="66"/>
      <c r="B41" s="8"/>
      <c r="C41" s="17"/>
      <c r="D41" s="8"/>
      <c r="E41" s="8"/>
      <c r="F41" s="8"/>
      <c r="G41" s="8"/>
      <c r="H41" s="8"/>
      <c r="I41" s="8"/>
      <c r="J41" s="8"/>
      <c r="K41" s="8"/>
      <c r="L41" s="8"/>
    </row>
    <row r="42">
      <c r="A42" s="67" t="s">
        <v>117</v>
      </c>
      <c r="B42" s="68"/>
      <c r="C42" s="68"/>
      <c r="D42" s="69"/>
      <c r="E42" s="8"/>
      <c r="F42" s="8"/>
      <c r="G42" s="8"/>
      <c r="H42" s="8"/>
      <c r="I42" s="8"/>
      <c r="J42" s="8"/>
      <c r="K42" s="8"/>
      <c r="L42" s="8"/>
    </row>
    <row r="43">
      <c r="A43" s="62"/>
      <c r="B43" s="70" t="s">
        <v>5</v>
      </c>
      <c r="C43" s="70" t="s">
        <v>81</v>
      </c>
      <c r="D43" s="70" t="s">
        <v>7</v>
      </c>
      <c r="E43" s="8"/>
      <c r="F43" s="8"/>
      <c r="G43" s="8"/>
      <c r="H43" s="8"/>
      <c r="I43" s="8"/>
      <c r="J43" s="8"/>
      <c r="K43" s="8"/>
      <c r="L43" s="8"/>
    </row>
    <row r="44">
      <c r="A44" s="71" t="s">
        <v>82</v>
      </c>
      <c r="B44" s="25">
        <v>0.0</v>
      </c>
      <c r="C44" s="25">
        <v>1.0</v>
      </c>
      <c r="D44" s="25">
        <v>0.0</v>
      </c>
      <c r="E44" s="8"/>
      <c r="F44" s="8"/>
      <c r="G44" s="8"/>
      <c r="H44" s="8"/>
      <c r="I44" s="8"/>
      <c r="J44" s="8"/>
      <c r="K44" s="8"/>
      <c r="L44" s="8"/>
    </row>
    <row r="45">
      <c r="A45" s="71" t="s">
        <v>83</v>
      </c>
      <c r="B45" s="25">
        <v>0.0</v>
      </c>
      <c r="C45" s="25">
        <v>0.0</v>
      </c>
      <c r="D45" s="25">
        <v>0.0</v>
      </c>
      <c r="E45" s="8"/>
      <c r="F45" s="8"/>
      <c r="G45" s="8"/>
      <c r="H45" s="8"/>
      <c r="I45" s="8"/>
      <c r="J45" s="8"/>
      <c r="K45" s="8"/>
      <c r="L45" s="8"/>
    </row>
    <row r="46">
      <c r="A46" s="71" t="s">
        <v>84</v>
      </c>
      <c r="B46" s="25">
        <v>0.0</v>
      </c>
      <c r="C46" s="25">
        <v>0.0</v>
      </c>
      <c r="D46" s="25">
        <v>0.0</v>
      </c>
      <c r="E46" s="8"/>
      <c r="F46" s="8"/>
      <c r="G46" s="8"/>
      <c r="H46" s="8"/>
      <c r="I46" s="8"/>
      <c r="J46" s="8"/>
      <c r="K46" s="8"/>
      <c r="L46" s="8"/>
    </row>
    <row r="47">
      <c r="A47" s="71" t="s">
        <v>85</v>
      </c>
      <c r="B47" s="25">
        <v>0.0</v>
      </c>
      <c r="C47" s="25">
        <v>21.0</v>
      </c>
      <c r="D47" s="25">
        <v>0.0</v>
      </c>
      <c r="E47" s="8"/>
      <c r="F47" s="8"/>
      <c r="G47" s="8"/>
      <c r="H47" s="8"/>
      <c r="I47" s="8"/>
      <c r="J47" s="8"/>
      <c r="K47" s="8"/>
      <c r="L47" s="8"/>
    </row>
    <row r="48">
      <c r="A48" s="66"/>
      <c r="B48" s="8"/>
      <c r="C48" s="17"/>
      <c r="D48" s="8"/>
      <c r="E48" s="8"/>
      <c r="F48" s="8"/>
      <c r="G48" s="8"/>
      <c r="H48" s="8"/>
      <c r="I48" s="8"/>
      <c r="J48" s="8"/>
      <c r="K48" s="8"/>
      <c r="L48" s="8"/>
    </row>
    <row r="49">
      <c r="A49" s="66"/>
      <c r="B49" s="8"/>
      <c r="C49" s="17"/>
      <c r="D49" s="8"/>
      <c r="E49" s="8"/>
      <c r="F49" s="8"/>
      <c r="G49" s="8"/>
      <c r="H49" s="8"/>
      <c r="I49" s="8"/>
      <c r="J49" s="8"/>
      <c r="K49" s="8"/>
      <c r="L49" s="8"/>
    </row>
    <row r="50">
      <c r="A50" s="72" t="s">
        <v>86</v>
      </c>
      <c r="B50" s="68"/>
      <c r="C50" s="68"/>
      <c r="D50" s="68"/>
      <c r="E50" s="69"/>
      <c r="F50" s="8"/>
      <c r="G50" s="8"/>
      <c r="H50" s="8"/>
      <c r="I50" s="8"/>
      <c r="J50" s="8"/>
      <c r="K50" s="8"/>
      <c r="L50" s="8"/>
    </row>
    <row r="51">
      <c r="A51" s="71" t="s">
        <v>8</v>
      </c>
      <c r="B51" s="25"/>
      <c r="C51" s="73"/>
      <c r="D51" s="25"/>
      <c r="E51" s="70" t="s">
        <v>87</v>
      </c>
      <c r="F51" s="8"/>
      <c r="G51" s="8"/>
      <c r="H51" s="8"/>
      <c r="I51" s="8"/>
      <c r="J51" s="8"/>
      <c r="K51" s="8"/>
      <c r="L51" s="8"/>
    </row>
    <row r="52">
      <c r="A52" s="74" t="s">
        <v>88</v>
      </c>
      <c r="B52" s="25"/>
      <c r="C52" s="73"/>
      <c r="D52" s="25"/>
      <c r="E52" s="75" t="s">
        <v>24</v>
      </c>
      <c r="F52" s="8"/>
      <c r="G52" s="8"/>
      <c r="H52" s="8"/>
      <c r="I52" s="8"/>
      <c r="J52" s="8"/>
      <c r="K52" s="8"/>
      <c r="L52" s="8"/>
    </row>
    <row r="53">
      <c r="A53" s="76" t="s">
        <v>89</v>
      </c>
      <c r="B53" s="25"/>
      <c r="C53" s="73"/>
      <c r="D53" s="25"/>
      <c r="E53" s="77" t="s">
        <v>13</v>
      </c>
      <c r="F53" s="8"/>
      <c r="G53" s="8"/>
      <c r="H53" s="8"/>
      <c r="I53" s="8"/>
      <c r="J53" s="8"/>
      <c r="K53" s="8"/>
      <c r="L53" s="8"/>
    </row>
    <row r="54">
      <c r="A54" s="78" t="s">
        <v>90</v>
      </c>
      <c r="B54" s="25"/>
      <c r="C54" s="73"/>
      <c r="D54" s="25"/>
      <c r="E54" s="79" t="s">
        <v>91</v>
      </c>
      <c r="F54" s="8"/>
      <c r="G54" s="8"/>
      <c r="H54" s="8"/>
      <c r="I54" s="8"/>
      <c r="J54" s="8"/>
      <c r="K54" s="8"/>
      <c r="L54" s="8"/>
    </row>
    <row r="55">
      <c r="A55" s="80" t="s">
        <v>92</v>
      </c>
      <c r="B55" s="25"/>
      <c r="C55" s="73"/>
      <c r="D55" s="25"/>
      <c r="E55" s="81" t="s">
        <v>10</v>
      </c>
      <c r="F55" s="8"/>
      <c r="G55" s="8"/>
      <c r="H55" s="8"/>
      <c r="I55" s="8"/>
      <c r="J55" s="8"/>
      <c r="K55" s="8"/>
      <c r="L55" s="8"/>
    </row>
    <row r="56">
      <c r="A56" s="82" t="s">
        <v>93</v>
      </c>
      <c r="B56" s="25"/>
      <c r="C56" s="73"/>
      <c r="D56" s="25"/>
      <c r="E56" s="83" t="s">
        <v>94</v>
      </c>
      <c r="F56" s="8"/>
      <c r="G56" s="8"/>
      <c r="H56" s="8"/>
      <c r="I56" s="8"/>
      <c r="J56" s="8"/>
      <c r="K56" s="8"/>
      <c r="L56" s="8"/>
    </row>
    <row r="57">
      <c r="A57" s="84" t="s">
        <v>95</v>
      </c>
      <c r="B57" s="25"/>
      <c r="C57" s="73"/>
      <c r="D57" s="25"/>
      <c r="E57" s="85" t="s">
        <v>11</v>
      </c>
      <c r="F57" s="8"/>
      <c r="G57" s="8"/>
      <c r="H57" s="8"/>
      <c r="I57" s="8"/>
      <c r="J57" s="8"/>
      <c r="K57" s="8"/>
      <c r="L57" s="8"/>
    </row>
    <row r="58">
      <c r="A58" s="86" t="s">
        <v>96</v>
      </c>
      <c r="B58" s="25"/>
      <c r="C58" s="73"/>
      <c r="D58" s="25"/>
      <c r="E58" s="87" t="s">
        <v>97</v>
      </c>
      <c r="F58" s="8"/>
      <c r="G58" s="8"/>
      <c r="H58" s="8"/>
      <c r="I58" s="8"/>
      <c r="J58" s="8"/>
      <c r="K58" s="8"/>
      <c r="L58" s="8"/>
    </row>
    <row r="59">
      <c r="A59" s="88" t="s">
        <v>98</v>
      </c>
      <c r="B59" s="25"/>
      <c r="C59" s="73"/>
      <c r="D59" s="25"/>
      <c r="E59" s="89" t="s">
        <v>12</v>
      </c>
      <c r="F59" s="8"/>
      <c r="G59" s="8"/>
      <c r="H59" s="8"/>
      <c r="I59" s="8"/>
      <c r="J59" s="8"/>
      <c r="K59" s="8"/>
      <c r="L59" s="8"/>
    </row>
    <row r="60">
      <c r="A60" s="90" t="s">
        <v>99</v>
      </c>
      <c r="B60" s="25"/>
      <c r="C60" s="73"/>
      <c r="D60" s="25"/>
      <c r="E60" s="91" t="s">
        <v>100</v>
      </c>
      <c r="F60" s="8"/>
      <c r="G60" s="8"/>
      <c r="H60" s="8"/>
      <c r="I60" s="8"/>
      <c r="J60" s="8"/>
      <c r="K60" s="8"/>
      <c r="L60" s="8"/>
    </row>
    <row r="61">
      <c r="A61" s="92" t="s">
        <v>101</v>
      </c>
      <c r="B61" s="25"/>
      <c r="C61" s="73"/>
      <c r="D61" s="25"/>
      <c r="E61" s="25"/>
      <c r="F61" s="8"/>
      <c r="G61" s="8"/>
      <c r="H61" s="8"/>
      <c r="I61" s="8"/>
      <c r="J61" s="8"/>
      <c r="K61" s="8"/>
      <c r="L61" s="8"/>
    </row>
    <row r="62">
      <c r="A62" s="93" t="s">
        <v>102</v>
      </c>
      <c r="B62" s="25"/>
      <c r="C62" s="73"/>
      <c r="D62" s="25"/>
      <c r="E62" s="25"/>
      <c r="F62" s="8"/>
      <c r="G62" s="8"/>
      <c r="H62" s="8"/>
      <c r="I62" s="8"/>
      <c r="J62" s="8"/>
      <c r="K62" s="8"/>
      <c r="L62" s="8"/>
    </row>
    <row r="63">
      <c r="A63" s="94" t="s">
        <v>103</v>
      </c>
      <c r="B63" s="25"/>
      <c r="C63" s="73"/>
      <c r="D63" s="25"/>
      <c r="E63" s="25"/>
      <c r="F63" s="8"/>
      <c r="G63" s="8"/>
      <c r="H63" s="8"/>
      <c r="I63" s="8"/>
      <c r="J63" s="8"/>
      <c r="K63" s="8"/>
      <c r="L63" s="8"/>
    </row>
    <row r="64">
      <c r="A64" s="95" t="s">
        <v>104</v>
      </c>
      <c r="B64" s="25"/>
      <c r="C64" s="73"/>
      <c r="D64" s="25"/>
      <c r="E64" s="25"/>
      <c r="F64" s="8"/>
      <c r="G64" s="8"/>
      <c r="H64" s="8"/>
      <c r="I64" s="8"/>
      <c r="J64" s="8"/>
      <c r="K64" s="8"/>
      <c r="L64" s="8"/>
    </row>
    <row r="65">
      <c r="A65" s="96" t="s">
        <v>105</v>
      </c>
      <c r="B65" s="25"/>
      <c r="C65" s="73"/>
      <c r="D65" s="25"/>
      <c r="E65" s="25"/>
      <c r="F65" s="8"/>
      <c r="G65" s="8"/>
      <c r="H65" s="8"/>
      <c r="I65" s="8"/>
      <c r="J65" s="8"/>
      <c r="K65" s="8"/>
      <c r="L65" s="8"/>
    </row>
    <row r="66">
      <c r="A66" s="97" t="s">
        <v>106</v>
      </c>
      <c r="B66" s="25"/>
      <c r="C66" s="73"/>
      <c r="D66" s="25"/>
      <c r="E66" s="25"/>
      <c r="F66" s="8"/>
      <c r="G66" s="8"/>
      <c r="H66" s="8"/>
      <c r="I66" s="8"/>
      <c r="J66" s="8"/>
      <c r="K66" s="8"/>
      <c r="L66" s="8"/>
    </row>
    <row r="67">
      <c r="A67" s="66"/>
      <c r="B67" s="8"/>
      <c r="C67" s="17"/>
      <c r="D67" s="8"/>
      <c r="E67" s="8"/>
      <c r="F67" s="8"/>
      <c r="G67" s="8"/>
      <c r="H67" s="8"/>
      <c r="I67" s="8"/>
      <c r="J67" s="8"/>
      <c r="K67" s="8"/>
      <c r="L67" s="8"/>
    </row>
    <row r="68">
      <c r="A68" s="66"/>
      <c r="B68" s="8"/>
      <c r="C68" s="17"/>
      <c r="D68" s="8"/>
      <c r="E68" s="8"/>
      <c r="F68" s="8"/>
      <c r="G68" s="8"/>
      <c r="H68" s="8"/>
      <c r="I68" s="8"/>
      <c r="J68" s="8"/>
      <c r="K68" s="8"/>
      <c r="L68" s="8"/>
    </row>
    <row r="69">
      <c r="A69" s="66"/>
      <c r="B69" s="8"/>
      <c r="C69" s="17"/>
      <c r="D69" s="8"/>
      <c r="E69" s="8"/>
      <c r="F69" s="8"/>
      <c r="G69" s="8"/>
      <c r="H69" s="8"/>
      <c r="I69" s="8"/>
      <c r="J69" s="8"/>
      <c r="K69" s="8"/>
      <c r="L69" s="8"/>
    </row>
    <row r="70">
      <c r="A70" s="66"/>
      <c r="B70" s="8"/>
      <c r="C70" s="17"/>
      <c r="D70" s="8"/>
      <c r="E70" s="8"/>
      <c r="F70" s="8"/>
      <c r="G70" s="8"/>
      <c r="H70" s="8"/>
      <c r="I70" s="8"/>
      <c r="J70" s="8"/>
      <c r="K70" s="8"/>
      <c r="L70" s="8"/>
    </row>
    <row r="71">
      <c r="A71" s="66"/>
      <c r="B71" s="8"/>
      <c r="C71" s="17"/>
      <c r="D71" s="8"/>
      <c r="E71" s="8"/>
      <c r="F71" s="8"/>
      <c r="G71" s="8"/>
      <c r="H71" s="8"/>
      <c r="I71" s="8"/>
      <c r="J71" s="8"/>
      <c r="K71" s="8"/>
      <c r="L71" s="8"/>
    </row>
  </sheetData>
  <mergeCells count="13">
    <mergeCell ref="A6:A28"/>
    <mergeCell ref="A29:A31"/>
    <mergeCell ref="B29:B31"/>
    <mergeCell ref="A32:A36"/>
    <mergeCell ref="A42:D42"/>
    <mergeCell ref="A50:E50"/>
    <mergeCell ref="G1:I1"/>
    <mergeCell ref="J1:L1"/>
    <mergeCell ref="B7:B9"/>
    <mergeCell ref="B10:B14"/>
    <mergeCell ref="B18:B21"/>
    <mergeCell ref="B22:B25"/>
    <mergeCell ref="B26:B27"/>
  </mergeCells>
  <conditionalFormatting sqref="B3:D3 G4:L4">
    <cfRule type="cellIs" dxfId="0" priority="1" stopIfTrue="1" operator="equal">
      <formula>"Amrita"</formula>
    </cfRule>
  </conditionalFormatting>
  <conditionalFormatting sqref="B3:D3 G4:L4">
    <cfRule type="cellIs" dxfId="1" priority="2" stopIfTrue="1" operator="equal">
      <formula>"Soumya"</formula>
    </cfRule>
  </conditionalFormatting>
  <conditionalFormatting sqref="B3:D3 G4:L4">
    <cfRule type="cellIs" dxfId="2" priority="3" stopIfTrue="1" operator="equal">
      <formula>"Hannah"</formula>
    </cfRule>
  </conditionalFormatting>
  <conditionalFormatting sqref="B3:D3 G4:L4">
    <cfRule type="cellIs" dxfId="3" priority="4" stopIfTrue="1" operator="equal">
      <formula>"Naga Lakshmi"</formula>
    </cfRule>
  </conditionalFormatting>
  <conditionalFormatting sqref="B3:D3 G4:L4">
    <cfRule type="cellIs" dxfId="4" priority="5" stopIfTrue="1" operator="equal">
      <formula>"Aditya"</formula>
    </cfRule>
  </conditionalFormatting>
  <conditionalFormatting sqref="B3:D3 G4:L4">
    <cfRule type="cellIs" dxfId="5" priority="6" stopIfTrue="1" operator="equal">
      <formula>"Sakshi"</formula>
    </cfRule>
  </conditionalFormatting>
  <conditionalFormatting sqref="B3:D3 G4:L4">
    <cfRule type="cellIs" dxfId="6" priority="7" stopIfTrue="1" operator="equal">
      <formula>"Abdul"</formula>
    </cfRule>
  </conditionalFormatting>
  <conditionalFormatting sqref="B3:D3 G4:L4">
    <cfRule type="cellIs" dxfId="7" priority="8" stopIfTrue="1" operator="equal">
      <formula>"Sourabh"</formula>
    </cfRule>
  </conditionalFormatting>
  <conditionalFormatting sqref="B3:D3 G4:L4">
    <cfRule type="cellIs" dxfId="8" priority="9" stopIfTrue="1" operator="equal">
      <formula>"Prachi"</formula>
    </cfRule>
  </conditionalFormatting>
  <conditionalFormatting sqref="B3:D3 G4:L4">
    <cfRule type="cellIs" dxfId="9" priority="10" stopIfTrue="1" operator="equal">
      <formula>"Vishnu"</formula>
    </cfRule>
  </conditionalFormatting>
  <conditionalFormatting sqref="B3:D3 G4:L4">
    <cfRule type="cellIs" dxfId="10" priority="11" stopIfTrue="1" operator="equal">
      <formula>"Ivy"</formula>
    </cfRule>
  </conditionalFormatting>
  <conditionalFormatting sqref="B3:D3 G4:L4">
    <cfRule type="cellIs" dxfId="11" priority="12" stopIfTrue="1" operator="equal">
      <formula>"Rupal"</formula>
    </cfRule>
  </conditionalFormatting>
  <conditionalFormatting sqref="B3:D3 G4:L4">
    <cfRule type="cellIs" dxfId="12" priority="13" stopIfTrue="1" operator="equal">
      <formula>"Soumyajit"</formula>
    </cfRule>
  </conditionalFormatting>
  <conditionalFormatting sqref="B3:D3 G4:L4">
    <cfRule type="cellIs" dxfId="13" priority="14" stopIfTrue="1" operator="equal">
      <formula>"Propali"</formula>
    </cfRule>
  </conditionalFormatting>
  <conditionalFormatting sqref="B3:D3 G4:L4">
    <cfRule type="cellIs" dxfId="14" priority="15" stopIfTrue="1" operator="equal">
      <formula>"Akshay"</formula>
    </cfRule>
  </conditionalFormatting>
  <conditionalFormatting sqref="B3:D3 G4:L4">
    <cfRule type="cellIs" dxfId="15" priority="16" stopIfTrue="1" operator="equal">
      <formula>"Nachiket"</formula>
    </cfRule>
  </conditionalFormatting>
  <conditionalFormatting sqref="G6:G37 H6:H36 I6:L37">
    <cfRule type="cellIs" dxfId="16" priority="17" stopIfTrue="1" operator="equal">
      <formula>"OK"</formula>
    </cfRule>
  </conditionalFormatting>
  <conditionalFormatting sqref="G6:G37 H6:H36 I6:L37">
    <cfRule type="cellIs" dxfId="16" priority="18" stopIfTrue="1" operator="equal">
      <formula>"AUTO_PASS"</formula>
    </cfRule>
  </conditionalFormatting>
  <conditionalFormatting sqref="G6:G37 H6:H36 I6:L37">
    <cfRule type="cellIs" dxfId="17" priority="19" stopIfTrue="1" operator="equal">
      <formula>"AUTO_FAIL"</formula>
    </cfRule>
  </conditionalFormatting>
  <conditionalFormatting sqref="B3:D3 G4:L4 G6:G37 H6:H36 I6:L37">
    <cfRule type="cellIs" dxfId="18" priority="20" stopIfTrue="1" operator="equal">
      <formula>"Not Tested"</formula>
    </cfRule>
  </conditionalFormatting>
  <conditionalFormatting sqref="G6:G37 H6:H36 I6:L37">
    <cfRule type="cellIs" dxfId="19" priority="21" stopIfTrue="1" operator="equal">
      <formula>"N/A"</formula>
    </cfRule>
  </conditionalFormatting>
  <conditionalFormatting sqref="B2:D2 G3:L3">
    <cfRule type="containsText" dxfId="20" priority="22" stopIfTrue="1" operator="containsText" text="Incomplete">
      <formula>NOT(ISERROR(SEARCH(("Incomplete"),(B2))))</formula>
    </cfRule>
  </conditionalFormatting>
  <conditionalFormatting sqref="B2:D2 G3:L3">
    <cfRule type="containsText" dxfId="17" priority="23" stopIfTrue="1" operator="containsText" text="Broken">
      <formula>NOT(ISERROR(SEARCH(("Broken"),(B2))))</formula>
    </cfRule>
  </conditionalFormatting>
  <conditionalFormatting sqref="B2:D2 G3:L3">
    <cfRule type="containsText" dxfId="21" priority="24" stopIfTrue="1" operator="containsText" text="Some problems">
      <formula>NOT(ISERROR(SEARCH(("Some problems"),(B2))))</formula>
    </cfRule>
  </conditionalFormatting>
  <conditionalFormatting sqref="B2:D2 G3:L3">
    <cfRule type="containsText" dxfId="22" priority="25" stopIfTrue="1" operator="containsText" text="All OK">
      <formula>NOT(ISERROR(SEARCH(("All OK"),(B2))))</formula>
    </cfRule>
  </conditionalFormatting>
  <conditionalFormatting sqref="B2:D2 G3:L3">
    <cfRule type="containsText" dxfId="23" priority="26" stopIfTrue="1" operator="containsText" text="In Progress">
      <formula>NOT(ISERROR(SEARCH(("In Progress"),(B2))))</formula>
    </cfRule>
  </conditionalFormatting>
  <conditionalFormatting sqref="B2:D2 G3:L3">
    <cfRule type="containsText" dxfId="24" priority="27" stopIfTrue="1" operator="containsText" text="Not Tested">
      <formula>NOT(ISERROR(SEARCH(("Not Tested"),(B2))))</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118</v>
      </c>
      <c r="B1" s="2" t="s">
        <v>108</v>
      </c>
      <c r="C1" s="2" t="s">
        <v>109</v>
      </c>
      <c r="D1" s="2" t="s">
        <v>110</v>
      </c>
      <c r="E1" s="3"/>
      <c r="F1" s="4" t="s">
        <v>0</v>
      </c>
      <c r="G1" s="5" t="s">
        <v>118</v>
      </c>
      <c r="H1" s="6"/>
      <c r="I1" s="7"/>
      <c r="J1" s="5" t="s">
        <v>119</v>
      </c>
      <c r="K1" s="6"/>
      <c r="L1" s="7"/>
    </row>
    <row r="2">
      <c r="A2" s="9"/>
      <c r="B2" s="10" t="s">
        <v>10</v>
      </c>
      <c r="C2" s="10" t="s">
        <v>120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11</v>
      </c>
      <c r="I3" s="15" t="s">
        <v>10</v>
      </c>
      <c r="J3" s="15" t="s">
        <v>10</v>
      </c>
      <c r="K3" s="15" t="s">
        <v>10</v>
      </c>
      <c r="L3" s="15" t="s">
        <v>10</v>
      </c>
    </row>
    <row r="4">
      <c r="A4" s="16"/>
      <c r="B4" s="8"/>
      <c r="C4" s="17"/>
      <c r="D4" s="8"/>
      <c r="E4" s="8"/>
      <c r="F4" s="18"/>
      <c r="G4" s="15" t="s">
        <v>13</v>
      </c>
      <c r="H4" s="15" t="s">
        <v>14</v>
      </c>
      <c r="I4" s="15" t="s">
        <v>13</v>
      </c>
      <c r="J4" s="15" t="s">
        <v>13</v>
      </c>
      <c r="K4" s="15" t="s">
        <v>13</v>
      </c>
      <c r="L4" s="15" t="s">
        <v>14</v>
      </c>
    </row>
    <row r="5">
      <c r="A5" s="19" t="s">
        <v>15</v>
      </c>
      <c r="B5" s="20" t="s">
        <v>16</v>
      </c>
      <c r="C5" s="20" t="s">
        <v>17</v>
      </c>
      <c r="D5" s="21" t="s">
        <v>18</v>
      </c>
      <c r="E5" s="21" t="s">
        <v>19</v>
      </c>
      <c r="F5" s="22" t="s">
        <v>20</v>
      </c>
      <c r="G5" s="23"/>
      <c r="H5" s="23"/>
      <c r="I5" s="23"/>
      <c r="J5" s="23"/>
      <c r="K5" s="23"/>
      <c r="L5" s="23"/>
    </row>
    <row r="6">
      <c r="A6" s="24"/>
      <c r="B6" s="25"/>
      <c r="C6" s="26" t="s">
        <v>21</v>
      </c>
      <c r="D6" s="98" t="s">
        <v>22</v>
      </c>
      <c r="E6" s="8"/>
      <c r="F6" s="18"/>
      <c r="G6" s="28"/>
      <c r="H6" s="101" t="s">
        <v>121</v>
      </c>
      <c r="I6" s="28"/>
      <c r="J6" s="28"/>
      <c r="K6" s="28"/>
      <c r="L6" s="28"/>
    </row>
    <row r="7">
      <c r="A7" s="30"/>
      <c r="B7" s="31" t="s">
        <v>25</v>
      </c>
      <c r="C7" s="32" t="s">
        <v>26</v>
      </c>
      <c r="D7" s="8"/>
      <c r="E7" s="8"/>
      <c r="F7" s="99" t="s">
        <v>27</v>
      </c>
      <c r="G7" s="28"/>
      <c r="H7" s="34" t="s">
        <v>24</v>
      </c>
      <c r="I7" s="34"/>
      <c r="J7" s="28"/>
      <c r="K7" s="34"/>
      <c r="L7" s="34"/>
    </row>
    <row r="8">
      <c r="A8" s="30"/>
      <c r="B8" s="30"/>
      <c r="C8" s="32" t="s">
        <v>28</v>
      </c>
      <c r="D8" s="8"/>
      <c r="E8" s="8"/>
      <c r="F8" s="59" t="s">
        <v>30</v>
      </c>
      <c r="G8" s="28"/>
      <c r="H8" s="37" t="s">
        <v>24</v>
      </c>
      <c r="I8" s="37"/>
      <c r="J8" s="28"/>
      <c r="K8" s="37"/>
      <c r="L8" s="37"/>
    </row>
    <row r="9">
      <c r="A9" s="30"/>
      <c r="B9" s="38"/>
      <c r="C9" s="32" t="s">
        <v>31</v>
      </c>
      <c r="D9" s="8"/>
      <c r="E9" s="8"/>
      <c r="F9" s="18"/>
      <c r="G9" s="28"/>
      <c r="H9" s="39" t="s">
        <v>24</v>
      </c>
      <c r="I9" s="40"/>
      <c r="J9" s="28"/>
      <c r="K9" s="39"/>
      <c r="L9" s="40"/>
    </row>
    <row r="10">
      <c r="A10" s="30"/>
      <c r="B10" s="31" t="s">
        <v>32</v>
      </c>
      <c r="C10" s="32" t="s">
        <v>33</v>
      </c>
      <c r="D10" s="8"/>
      <c r="E10" s="8"/>
      <c r="F10" s="59" t="s">
        <v>34</v>
      </c>
      <c r="G10" s="28"/>
      <c r="H10" s="41" t="s">
        <v>24</v>
      </c>
      <c r="I10" s="40"/>
      <c r="J10" s="28"/>
      <c r="K10" s="41"/>
      <c r="L10" s="40"/>
    </row>
    <row r="11">
      <c r="A11" s="30"/>
      <c r="B11" s="30"/>
      <c r="C11" s="42" t="s">
        <v>35</v>
      </c>
      <c r="D11" s="8"/>
      <c r="E11" s="8"/>
      <c r="F11" s="99" t="s">
        <v>114</v>
      </c>
      <c r="G11" s="28"/>
      <c r="H11" s="43"/>
      <c r="I11" s="40"/>
      <c r="J11" s="28"/>
      <c r="K11" s="43"/>
      <c r="L11" s="40"/>
    </row>
    <row r="12">
      <c r="A12" s="30"/>
      <c r="B12" s="30"/>
      <c r="C12" s="32" t="s">
        <v>37</v>
      </c>
      <c r="D12" s="8"/>
      <c r="E12" s="8"/>
      <c r="F12" s="44"/>
      <c r="G12" s="28"/>
      <c r="H12" s="43" t="s">
        <v>24</v>
      </c>
      <c r="I12" s="43"/>
      <c r="J12" s="28"/>
      <c r="K12" s="43"/>
      <c r="L12" s="43"/>
    </row>
    <row r="13">
      <c r="A13" s="30"/>
      <c r="B13" s="30"/>
      <c r="C13" s="32" t="s">
        <v>38</v>
      </c>
      <c r="D13" s="8"/>
      <c r="E13" s="8"/>
      <c r="F13" s="44"/>
      <c r="G13" s="28"/>
      <c r="H13" s="43" t="s">
        <v>24</v>
      </c>
      <c r="I13" s="43"/>
      <c r="J13" s="28"/>
      <c r="K13" s="43"/>
      <c r="L13" s="43"/>
    </row>
    <row r="14">
      <c r="A14" s="30"/>
      <c r="B14" s="38"/>
      <c r="C14" s="32" t="s">
        <v>39</v>
      </c>
      <c r="D14" s="8"/>
      <c r="E14" s="8"/>
      <c r="F14" s="45" t="s">
        <v>40</v>
      </c>
      <c r="G14" s="28"/>
      <c r="H14" s="39"/>
      <c r="I14" s="40"/>
      <c r="J14" s="28"/>
      <c r="K14" s="39"/>
      <c r="L14" s="40"/>
    </row>
    <row r="15">
      <c r="A15" s="30"/>
      <c r="B15" s="42" t="s">
        <v>41</v>
      </c>
      <c r="C15" s="32" t="s">
        <v>42</v>
      </c>
      <c r="D15" s="8"/>
      <c r="E15" s="8"/>
      <c r="F15" s="18"/>
      <c r="G15" s="28"/>
      <c r="H15" s="46" t="s">
        <v>24</v>
      </c>
      <c r="I15" s="47"/>
      <c r="J15" s="28"/>
      <c r="K15" s="46"/>
      <c r="L15" s="47"/>
    </row>
    <row r="16">
      <c r="A16" s="30"/>
      <c r="B16" s="32"/>
      <c r="C16" s="32" t="s">
        <v>43</v>
      </c>
      <c r="D16" s="48" t="s">
        <v>44</v>
      </c>
      <c r="E16" s="8"/>
      <c r="F16" s="49"/>
      <c r="G16" s="28"/>
      <c r="H16" s="39" t="s">
        <v>24</v>
      </c>
      <c r="I16" s="43"/>
      <c r="J16" s="28"/>
      <c r="K16" s="39"/>
      <c r="L16" s="43"/>
    </row>
    <row r="17">
      <c r="A17" s="30"/>
      <c r="B17" s="32" t="s">
        <v>45</v>
      </c>
      <c r="C17" s="32" t="s">
        <v>46</v>
      </c>
      <c r="D17" s="102" t="s">
        <v>47</v>
      </c>
      <c r="E17" s="8"/>
      <c r="F17" s="49" t="s">
        <v>48</v>
      </c>
      <c r="G17" s="28"/>
      <c r="H17" s="39" t="s">
        <v>24</v>
      </c>
      <c r="I17" s="43"/>
      <c r="J17" s="28"/>
      <c r="K17" s="39"/>
      <c r="L17" s="43"/>
    </row>
    <row r="18">
      <c r="A18" s="30"/>
      <c r="B18" s="51" t="s">
        <v>49</v>
      </c>
      <c r="C18" s="32" t="s">
        <v>50</v>
      </c>
      <c r="D18" s="8"/>
      <c r="E18" s="8"/>
      <c r="F18" s="18"/>
      <c r="G18" s="28"/>
      <c r="H18" s="39" t="s">
        <v>24</v>
      </c>
      <c r="I18" s="40"/>
      <c r="J18" s="28"/>
      <c r="K18" s="39"/>
      <c r="L18" s="40"/>
    </row>
    <row r="19">
      <c r="A19" s="30"/>
      <c r="B19" s="30"/>
      <c r="C19" s="32" t="s">
        <v>51</v>
      </c>
      <c r="D19" s="102" t="s">
        <v>22</v>
      </c>
      <c r="E19" s="8"/>
      <c r="F19" s="49" t="s">
        <v>52</v>
      </c>
      <c r="G19" s="28"/>
      <c r="H19" s="39" t="s">
        <v>24</v>
      </c>
      <c r="I19" s="52"/>
      <c r="J19" s="28"/>
      <c r="K19" s="39"/>
      <c r="L19" s="52"/>
    </row>
    <row r="20">
      <c r="A20" s="30"/>
      <c r="B20" s="30"/>
      <c r="C20" s="32" t="s">
        <v>53</v>
      </c>
      <c r="D20" s="8"/>
      <c r="E20" s="8"/>
      <c r="F20" s="18"/>
      <c r="G20" s="28"/>
      <c r="H20" s="39" t="s">
        <v>24</v>
      </c>
      <c r="I20" s="52"/>
      <c r="J20" s="28"/>
      <c r="K20" s="39"/>
      <c r="L20" s="52"/>
    </row>
    <row r="21">
      <c r="A21" s="30"/>
      <c r="B21" s="38"/>
      <c r="C21" s="32" t="s">
        <v>54</v>
      </c>
      <c r="D21" s="8"/>
      <c r="E21" s="8"/>
      <c r="F21" s="18"/>
      <c r="G21" s="28"/>
      <c r="H21" s="28" t="s">
        <v>24</v>
      </c>
      <c r="I21" s="53"/>
      <c r="J21" s="28"/>
      <c r="K21" s="28"/>
      <c r="L21" s="53"/>
    </row>
    <row r="22">
      <c r="A22" s="30"/>
      <c r="B22" s="51" t="s">
        <v>55</v>
      </c>
      <c r="C22" s="32" t="s">
        <v>56</v>
      </c>
      <c r="D22" s="8"/>
      <c r="E22" s="8"/>
      <c r="F22" s="18"/>
      <c r="G22" s="28"/>
      <c r="H22" s="28" t="s">
        <v>24</v>
      </c>
      <c r="I22" s="28"/>
      <c r="J22" s="28"/>
      <c r="K22" s="28"/>
      <c r="L22" s="28"/>
    </row>
    <row r="23">
      <c r="A23" s="30"/>
      <c r="B23" s="30"/>
      <c r="C23" s="32" t="s">
        <v>57</v>
      </c>
      <c r="D23" s="8"/>
      <c r="E23" s="8"/>
      <c r="F23" s="18"/>
      <c r="G23" s="28"/>
      <c r="H23" s="28" t="s">
        <v>24</v>
      </c>
      <c r="I23" s="28"/>
      <c r="J23" s="28"/>
      <c r="K23" s="28"/>
      <c r="L23" s="28"/>
    </row>
    <row r="24">
      <c r="A24" s="30"/>
      <c r="B24" s="30"/>
      <c r="C24" s="54" t="s">
        <v>58</v>
      </c>
      <c r="D24" s="8"/>
      <c r="E24" s="8"/>
      <c r="F24" s="18"/>
      <c r="G24" s="28"/>
      <c r="H24" s="28" t="s">
        <v>24</v>
      </c>
      <c r="I24" s="40"/>
      <c r="J24" s="28"/>
      <c r="K24" s="28"/>
      <c r="L24" s="40"/>
    </row>
    <row r="25">
      <c r="A25" s="30"/>
      <c r="B25" s="38"/>
      <c r="C25" s="103" t="s">
        <v>59</v>
      </c>
      <c r="D25" s="8"/>
      <c r="E25" s="8"/>
      <c r="F25" s="18"/>
      <c r="G25" s="28"/>
      <c r="H25" s="28" t="s">
        <v>24</v>
      </c>
      <c r="I25" s="40"/>
      <c r="J25" s="28"/>
      <c r="K25" s="28"/>
      <c r="L25" s="40"/>
    </row>
    <row r="26">
      <c r="A26" s="30"/>
      <c r="B26" s="31" t="s">
        <v>60</v>
      </c>
      <c r="C26" s="32" t="s">
        <v>61</v>
      </c>
      <c r="D26" s="8"/>
      <c r="E26" s="8"/>
      <c r="F26" s="18"/>
      <c r="G26" s="28"/>
      <c r="H26" s="40" t="s">
        <v>24</v>
      </c>
      <c r="I26" s="28"/>
      <c r="J26" s="28"/>
      <c r="K26" s="40"/>
      <c r="L26" s="28"/>
    </row>
    <row r="27">
      <c r="A27" s="30"/>
      <c r="B27" s="38"/>
      <c r="C27" s="32" t="s">
        <v>62</v>
      </c>
      <c r="D27" s="8"/>
      <c r="E27" s="8"/>
      <c r="F27" s="18"/>
      <c r="G27" s="28"/>
      <c r="H27" s="40" t="s">
        <v>24</v>
      </c>
      <c r="I27" s="28"/>
      <c r="J27" s="28"/>
      <c r="K27" s="40"/>
      <c r="L27" s="28"/>
    </row>
    <row r="28">
      <c r="A28" s="38"/>
      <c r="B28" s="32" t="s">
        <v>63</v>
      </c>
      <c r="C28" s="32" t="s">
        <v>64</v>
      </c>
      <c r="D28" s="8"/>
      <c r="E28" s="8"/>
      <c r="F28" s="49" t="s">
        <v>65</v>
      </c>
      <c r="G28" s="28"/>
      <c r="H28" s="28" t="s">
        <v>24</v>
      </c>
      <c r="I28" s="40"/>
      <c r="J28" s="28"/>
      <c r="K28" s="28"/>
      <c r="L28" s="40"/>
    </row>
    <row r="29">
      <c r="A29" s="56" t="s">
        <v>66</v>
      </c>
      <c r="B29" s="31" t="s">
        <v>67</v>
      </c>
      <c r="C29" s="55" t="s">
        <v>68</v>
      </c>
      <c r="D29" s="102" t="s">
        <v>69</v>
      </c>
      <c r="E29" s="8"/>
      <c r="F29" s="49"/>
      <c r="G29" s="28"/>
      <c r="H29" s="28" t="s">
        <v>24</v>
      </c>
      <c r="I29" s="40"/>
      <c r="J29" s="28"/>
      <c r="K29" s="28"/>
      <c r="L29" s="40"/>
    </row>
    <row r="30">
      <c r="A30" s="30"/>
      <c r="B30" s="30"/>
      <c r="C30" s="32" t="s">
        <v>70</v>
      </c>
      <c r="D30" s="102" t="s">
        <v>69</v>
      </c>
      <c r="E30" s="8"/>
      <c r="F30" s="49"/>
      <c r="G30" s="28"/>
      <c r="H30" s="28" t="s">
        <v>24</v>
      </c>
      <c r="I30" s="40"/>
      <c r="J30" s="28"/>
      <c r="K30" s="28"/>
      <c r="L30" s="40"/>
    </row>
    <row r="31">
      <c r="A31" s="38"/>
      <c r="B31" s="38"/>
      <c r="C31" s="57" t="s">
        <v>71</v>
      </c>
      <c r="D31" s="102" t="s">
        <v>69</v>
      </c>
      <c r="E31" s="8"/>
      <c r="F31" s="49"/>
      <c r="G31" s="28"/>
      <c r="H31" s="28" t="s">
        <v>24</v>
      </c>
      <c r="I31" s="40"/>
      <c r="J31" s="28"/>
      <c r="K31" s="28"/>
      <c r="L31" s="40"/>
    </row>
    <row r="32">
      <c r="A32" s="56" t="s">
        <v>72</v>
      </c>
      <c r="B32" s="25"/>
      <c r="C32" s="55" t="s">
        <v>73</v>
      </c>
      <c r="D32" s="58" t="s">
        <v>74</v>
      </c>
      <c r="E32" s="58" t="s">
        <v>74</v>
      </c>
      <c r="F32" s="59" t="s">
        <v>75</v>
      </c>
      <c r="G32" s="28"/>
      <c r="H32" s="28" t="s">
        <v>24</v>
      </c>
      <c r="I32" s="28"/>
      <c r="J32" s="28"/>
      <c r="K32" s="28"/>
      <c r="L32" s="28"/>
    </row>
    <row r="33">
      <c r="A33" s="30"/>
      <c r="B33" s="25"/>
      <c r="C33" s="55" t="s">
        <v>76</v>
      </c>
      <c r="D33" s="58" t="s">
        <v>74</v>
      </c>
      <c r="E33" s="58" t="s">
        <v>74</v>
      </c>
      <c r="F33" s="59"/>
      <c r="G33" s="28"/>
      <c r="H33" s="28" t="s">
        <v>24</v>
      </c>
      <c r="I33" s="28"/>
      <c r="J33" s="28"/>
      <c r="K33" s="28"/>
      <c r="L33" s="28"/>
    </row>
    <row r="34">
      <c r="A34" s="30"/>
      <c r="B34" s="25"/>
      <c r="C34" s="32" t="s">
        <v>77</v>
      </c>
      <c r="D34" s="58" t="s">
        <v>74</v>
      </c>
      <c r="E34" s="58" t="s">
        <v>74</v>
      </c>
      <c r="F34" s="18"/>
      <c r="G34" s="28"/>
      <c r="H34" s="28" t="s">
        <v>24</v>
      </c>
      <c r="I34" s="28"/>
      <c r="J34" s="28"/>
      <c r="K34" s="28"/>
      <c r="L34" s="28"/>
    </row>
    <row r="35">
      <c r="A35" s="30"/>
      <c r="B35" s="25"/>
      <c r="C35" s="60" t="s">
        <v>78</v>
      </c>
      <c r="D35" s="58" t="s">
        <v>74</v>
      </c>
      <c r="E35" s="58" t="s">
        <v>74</v>
      </c>
      <c r="F35" s="8"/>
      <c r="G35" s="61"/>
      <c r="H35" s="28" t="s">
        <v>24</v>
      </c>
      <c r="I35" s="61"/>
      <c r="J35" s="61"/>
      <c r="K35" s="61"/>
      <c r="L35" s="61"/>
    </row>
    <row r="36">
      <c r="A36" s="38"/>
      <c r="B36" s="25"/>
      <c r="C36" s="32" t="s">
        <v>79</v>
      </c>
      <c r="D36" s="58" t="s">
        <v>74</v>
      </c>
      <c r="E36" s="58" t="s">
        <v>74</v>
      </c>
      <c r="F36" s="8"/>
      <c r="G36" s="61"/>
      <c r="H36" s="28" t="s">
        <v>24</v>
      </c>
      <c r="I36" s="61"/>
      <c r="J36" s="61"/>
      <c r="K36" s="61"/>
      <c r="L36" s="61"/>
    </row>
    <row r="37">
      <c r="A37" s="62"/>
      <c r="B37" s="25">
        <v>37.0</v>
      </c>
      <c r="C37" s="25" t="s">
        <v>116</v>
      </c>
      <c r="D37" s="25"/>
      <c r="E37" s="25"/>
      <c r="F37" s="54" t="s">
        <v>80</v>
      </c>
      <c r="G37" s="64"/>
      <c r="H37" s="64"/>
      <c r="I37" s="65"/>
      <c r="J37" s="64"/>
      <c r="K37" s="64"/>
      <c r="L37" s="65"/>
    </row>
    <row r="38">
      <c r="A38" s="66"/>
      <c r="B38" s="8"/>
      <c r="C38" s="17"/>
      <c r="D38" s="8"/>
      <c r="E38" s="8"/>
      <c r="F38" s="8"/>
      <c r="G38" s="8"/>
      <c r="H38" s="8"/>
      <c r="I38" s="8"/>
      <c r="J38" s="8"/>
      <c r="K38" s="8"/>
      <c r="L38" s="8"/>
    </row>
    <row r="39">
      <c r="A39" s="66"/>
      <c r="B39" s="8"/>
      <c r="C39" s="17"/>
      <c r="D39" s="8"/>
      <c r="E39" s="8"/>
      <c r="F39" s="8"/>
      <c r="G39" s="8"/>
      <c r="H39" s="8"/>
      <c r="I39" s="8"/>
      <c r="J39" s="8"/>
      <c r="K39" s="8"/>
      <c r="L39" s="8"/>
    </row>
    <row r="40">
      <c r="A40" s="66"/>
      <c r="B40" s="8"/>
      <c r="C40" s="17"/>
      <c r="D40" s="8"/>
      <c r="E40" s="8"/>
      <c r="F40" s="8"/>
      <c r="G40" s="8"/>
      <c r="H40" s="8"/>
      <c r="I40" s="8"/>
      <c r="J40" s="8"/>
      <c r="K40" s="8"/>
      <c r="L40" s="8"/>
    </row>
    <row r="41">
      <c r="A41" s="66"/>
      <c r="B41" s="8"/>
      <c r="C41" s="17"/>
      <c r="D41" s="8"/>
      <c r="E41" s="8"/>
      <c r="F41" s="8"/>
      <c r="G41" s="8"/>
      <c r="H41" s="8"/>
      <c r="I41" s="8"/>
      <c r="J41" s="8"/>
      <c r="K41" s="8"/>
      <c r="L41" s="8"/>
    </row>
    <row r="42">
      <c r="A42" s="67" t="s">
        <v>122</v>
      </c>
      <c r="B42" s="68"/>
      <c r="C42" s="68"/>
      <c r="D42" s="69"/>
      <c r="E42" s="8"/>
      <c r="F42" s="8"/>
      <c r="G42" s="8"/>
      <c r="H42" s="8"/>
      <c r="I42" s="8"/>
      <c r="J42" s="8"/>
      <c r="K42" s="8"/>
      <c r="L42" s="8"/>
    </row>
    <row r="43">
      <c r="A43" s="62"/>
      <c r="B43" s="70" t="s">
        <v>5</v>
      </c>
      <c r="C43" s="70" t="s">
        <v>81</v>
      </c>
      <c r="D43" s="70" t="s">
        <v>7</v>
      </c>
      <c r="E43" s="8"/>
      <c r="F43" s="8"/>
      <c r="G43" s="8"/>
      <c r="H43" s="8"/>
      <c r="I43" s="8"/>
      <c r="J43" s="8"/>
      <c r="K43" s="8"/>
      <c r="L43" s="8"/>
    </row>
    <row r="44">
      <c r="A44" s="71" t="s">
        <v>82</v>
      </c>
      <c r="B44" s="25">
        <v>0.0</v>
      </c>
      <c r="C44" s="25">
        <v>26.0</v>
      </c>
      <c r="D44" s="25">
        <v>0.0</v>
      </c>
      <c r="E44" s="8"/>
      <c r="F44" s="8"/>
      <c r="G44" s="8"/>
      <c r="H44" s="8"/>
      <c r="I44" s="8"/>
      <c r="J44" s="8"/>
      <c r="K44" s="8"/>
      <c r="L44" s="8"/>
    </row>
    <row r="45">
      <c r="A45" s="71" t="s">
        <v>83</v>
      </c>
      <c r="B45" s="25">
        <v>0.0</v>
      </c>
      <c r="C45" s="25">
        <v>0.0</v>
      </c>
      <c r="D45" s="25">
        <v>0.0</v>
      </c>
      <c r="E45" s="8"/>
      <c r="F45" s="8"/>
      <c r="G45" s="8"/>
      <c r="H45" s="8"/>
      <c r="I45" s="8"/>
      <c r="J45" s="8"/>
      <c r="K45" s="8"/>
      <c r="L45" s="8"/>
    </row>
    <row r="46">
      <c r="A46" s="71" t="s">
        <v>84</v>
      </c>
      <c r="B46" s="25">
        <v>0.0</v>
      </c>
      <c r="C46" s="25">
        <v>0.0</v>
      </c>
      <c r="D46" s="25">
        <v>0.0</v>
      </c>
      <c r="E46" s="8"/>
      <c r="F46" s="8"/>
      <c r="G46" s="8"/>
      <c r="H46" s="8"/>
      <c r="I46" s="8"/>
      <c r="J46" s="8"/>
      <c r="K46" s="8"/>
      <c r="L46" s="8"/>
    </row>
    <row r="47">
      <c r="A47" s="71" t="s">
        <v>85</v>
      </c>
      <c r="B47" s="25">
        <v>0.0</v>
      </c>
      <c r="C47" s="25">
        <v>2.0</v>
      </c>
      <c r="D47" s="25">
        <v>0.0</v>
      </c>
      <c r="E47" s="8"/>
      <c r="F47" s="8"/>
      <c r="G47" s="8"/>
      <c r="H47" s="8"/>
      <c r="I47" s="8"/>
      <c r="J47" s="8"/>
      <c r="K47" s="8"/>
      <c r="L47" s="8"/>
    </row>
    <row r="48">
      <c r="A48" s="66"/>
      <c r="B48" s="8"/>
      <c r="C48" s="17"/>
      <c r="D48" s="8"/>
      <c r="E48" s="8"/>
      <c r="F48" s="8"/>
      <c r="G48" s="8"/>
      <c r="H48" s="8"/>
      <c r="I48" s="8"/>
      <c r="J48" s="8"/>
      <c r="K48" s="8"/>
      <c r="L48" s="8"/>
    </row>
    <row r="49">
      <c r="A49" s="66"/>
      <c r="B49" s="8"/>
      <c r="C49" s="17"/>
      <c r="D49" s="8"/>
      <c r="E49" s="8"/>
      <c r="F49" s="8"/>
      <c r="G49" s="8"/>
      <c r="H49" s="8"/>
      <c r="I49" s="8"/>
      <c r="J49" s="8"/>
      <c r="K49" s="8"/>
      <c r="L49" s="8"/>
    </row>
    <row r="50">
      <c r="A50" s="72" t="s">
        <v>86</v>
      </c>
      <c r="B50" s="68"/>
      <c r="C50" s="68"/>
      <c r="D50" s="68"/>
      <c r="E50" s="69"/>
      <c r="F50" s="8"/>
      <c r="G50" s="8"/>
      <c r="H50" s="8"/>
      <c r="I50" s="8"/>
      <c r="J50" s="8"/>
      <c r="K50" s="8"/>
      <c r="L50" s="8"/>
    </row>
    <row r="51">
      <c r="A51" s="71" t="s">
        <v>8</v>
      </c>
      <c r="B51" s="25"/>
      <c r="C51" s="73"/>
      <c r="D51" s="25"/>
      <c r="E51" s="70" t="s">
        <v>87</v>
      </c>
      <c r="F51" s="8"/>
      <c r="G51" s="8"/>
      <c r="H51" s="8"/>
      <c r="I51" s="8"/>
      <c r="J51" s="8"/>
      <c r="K51" s="8"/>
      <c r="L51" s="8"/>
    </row>
    <row r="52">
      <c r="A52" s="74" t="s">
        <v>88</v>
      </c>
      <c r="B52" s="25"/>
      <c r="C52" s="73"/>
      <c r="D52" s="25"/>
      <c r="E52" s="75" t="s">
        <v>24</v>
      </c>
      <c r="F52" s="8"/>
      <c r="G52" s="8"/>
      <c r="H52" s="8"/>
      <c r="I52" s="8"/>
      <c r="J52" s="8"/>
      <c r="K52" s="8"/>
      <c r="L52" s="8"/>
    </row>
    <row r="53">
      <c r="A53" s="76" t="s">
        <v>89</v>
      </c>
      <c r="B53" s="25"/>
      <c r="C53" s="73"/>
      <c r="D53" s="25"/>
      <c r="E53" s="77" t="s">
        <v>13</v>
      </c>
      <c r="F53" s="8"/>
      <c r="G53" s="8"/>
      <c r="H53" s="8"/>
      <c r="I53" s="8"/>
      <c r="J53" s="8"/>
      <c r="K53" s="8"/>
      <c r="L53" s="8"/>
    </row>
    <row r="54">
      <c r="A54" s="78" t="s">
        <v>90</v>
      </c>
      <c r="B54" s="25"/>
      <c r="C54" s="73"/>
      <c r="D54" s="25"/>
      <c r="E54" s="79" t="s">
        <v>91</v>
      </c>
      <c r="F54" s="8"/>
      <c r="G54" s="8"/>
      <c r="H54" s="8"/>
      <c r="I54" s="8"/>
      <c r="J54" s="8"/>
      <c r="K54" s="8"/>
      <c r="L54" s="8"/>
    </row>
    <row r="55">
      <c r="A55" s="80" t="s">
        <v>92</v>
      </c>
      <c r="B55" s="25"/>
      <c r="C55" s="73"/>
      <c r="D55" s="25"/>
      <c r="E55" s="81" t="s">
        <v>10</v>
      </c>
      <c r="F55" s="8"/>
      <c r="G55" s="8"/>
      <c r="H55" s="8"/>
      <c r="I55" s="8"/>
      <c r="J55" s="8"/>
      <c r="K55" s="8"/>
      <c r="L55" s="8"/>
    </row>
    <row r="56">
      <c r="A56" s="82" t="s">
        <v>93</v>
      </c>
      <c r="B56" s="25"/>
      <c r="C56" s="73"/>
      <c r="D56" s="25"/>
      <c r="E56" s="83" t="s">
        <v>94</v>
      </c>
      <c r="F56" s="8"/>
      <c r="G56" s="8"/>
      <c r="H56" s="8"/>
      <c r="I56" s="8"/>
      <c r="J56" s="8"/>
      <c r="K56" s="8"/>
      <c r="L56" s="8"/>
    </row>
    <row r="57">
      <c r="A57" s="84" t="s">
        <v>95</v>
      </c>
      <c r="B57" s="25"/>
      <c r="C57" s="73"/>
      <c r="D57" s="25"/>
      <c r="E57" s="85" t="s">
        <v>11</v>
      </c>
      <c r="F57" s="8"/>
      <c r="G57" s="8"/>
      <c r="H57" s="8"/>
      <c r="I57" s="8"/>
      <c r="J57" s="8"/>
      <c r="K57" s="8"/>
      <c r="L57" s="8"/>
    </row>
    <row r="58">
      <c r="A58" s="86" t="s">
        <v>96</v>
      </c>
      <c r="B58" s="25"/>
      <c r="C58" s="73"/>
      <c r="D58" s="25"/>
      <c r="E58" s="87" t="s">
        <v>97</v>
      </c>
      <c r="F58" s="8"/>
      <c r="G58" s="8"/>
      <c r="H58" s="8"/>
      <c r="I58" s="8"/>
      <c r="J58" s="8"/>
      <c r="K58" s="8"/>
      <c r="L58" s="8"/>
    </row>
    <row r="59">
      <c r="A59" s="88" t="s">
        <v>98</v>
      </c>
      <c r="B59" s="25"/>
      <c r="C59" s="73"/>
      <c r="D59" s="25"/>
      <c r="E59" s="89" t="s">
        <v>12</v>
      </c>
      <c r="F59" s="8"/>
      <c r="G59" s="8"/>
      <c r="H59" s="8"/>
      <c r="I59" s="8"/>
      <c r="J59" s="8"/>
      <c r="K59" s="8"/>
      <c r="L59" s="8"/>
    </row>
    <row r="60">
      <c r="A60" s="90" t="s">
        <v>99</v>
      </c>
      <c r="B60" s="25"/>
      <c r="C60" s="73"/>
      <c r="D60" s="25"/>
      <c r="E60" s="91" t="s">
        <v>100</v>
      </c>
      <c r="F60" s="8"/>
      <c r="G60" s="8"/>
      <c r="H60" s="8"/>
      <c r="I60" s="8"/>
      <c r="J60" s="8"/>
      <c r="K60" s="8"/>
      <c r="L60" s="8"/>
    </row>
    <row r="61">
      <c r="A61" s="92" t="s">
        <v>101</v>
      </c>
      <c r="B61" s="25"/>
      <c r="C61" s="73"/>
      <c r="D61" s="25"/>
      <c r="E61" s="25"/>
      <c r="F61" s="8"/>
      <c r="G61" s="8"/>
      <c r="H61" s="8"/>
      <c r="I61" s="8"/>
      <c r="J61" s="8"/>
      <c r="K61" s="8"/>
      <c r="L61" s="8"/>
    </row>
    <row r="62">
      <c r="A62" s="93" t="s">
        <v>102</v>
      </c>
      <c r="B62" s="25"/>
      <c r="C62" s="73"/>
      <c r="D62" s="25"/>
      <c r="E62" s="25"/>
      <c r="F62" s="8"/>
      <c r="G62" s="8"/>
      <c r="H62" s="8"/>
      <c r="I62" s="8"/>
      <c r="J62" s="8"/>
      <c r="K62" s="8"/>
      <c r="L62" s="8"/>
    </row>
    <row r="63">
      <c r="A63" s="94" t="s">
        <v>103</v>
      </c>
      <c r="B63" s="25"/>
      <c r="C63" s="73"/>
      <c r="D63" s="25"/>
      <c r="E63" s="25"/>
      <c r="F63" s="8"/>
      <c r="G63" s="8"/>
      <c r="H63" s="8"/>
      <c r="I63" s="8"/>
      <c r="J63" s="8"/>
      <c r="K63" s="8"/>
      <c r="L63" s="8"/>
    </row>
    <row r="64">
      <c r="A64" s="95" t="s">
        <v>104</v>
      </c>
      <c r="B64" s="25"/>
      <c r="C64" s="73"/>
      <c r="D64" s="25"/>
      <c r="E64" s="25"/>
      <c r="F64" s="8"/>
      <c r="G64" s="8"/>
      <c r="H64" s="8"/>
      <c r="I64" s="8"/>
      <c r="J64" s="8"/>
      <c r="K64" s="8"/>
      <c r="L64" s="8"/>
    </row>
    <row r="65">
      <c r="A65" s="96" t="s">
        <v>105</v>
      </c>
      <c r="B65" s="25"/>
      <c r="C65" s="73"/>
      <c r="D65" s="25"/>
      <c r="E65" s="25"/>
      <c r="F65" s="8"/>
      <c r="G65" s="8"/>
      <c r="H65" s="8"/>
      <c r="I65" s="8"/>
      <c r="J65" s="8"/>
      <c r="K65" s="8"/>
      <c r="L65" s="8"/>
    </row>
    <row r="66">
      <c r="A66" s="97" t="s">
        <v>106</v>
      </c>
      <c r="B66" s="25"/>
      <c r="C66" s="73"/>
      <c r="D66" s="25"/>
      <c r="E66" s="25"/>
      <c r="F66" s="8"/>
      <c r="G66" s="8"/>
      <c r="H66" s="8"/>
      <c r="I66" s="8"/>
      <c r="J66" s="8"/>
      <c r="K66" s="8"/>
      <c r="L66" s="8"/>
    </row>
    <row r="67">
      <c r="A67" s="66"/>
      <c r="B67" s="8"/>
      <c r="C67" s="17"/>
      <c r="D67" s="8"/>
      <c r="E67" s="8"/>
      <c r="F67" s="8"/>
      <c r="G67" s="8"/>
      <c r="H67" s="8"/>
      <c r="I67" s="8"/>
      <c r="J67" s="8"/>
      <c r="K67" s="8"/>
      <c r="L67" s="8"/>
    </row>
    <row r="68">
      <c r="A68" s="66"/>
      <c r="B68" s="8"/>
      <c r="C68" s="17"/>
      <c r="D68" s="8"/>
      <c r="E68" s="8"/>
      <c r="F68" s="8"/>
      <c r="G68" s="8"/>
      <c r="H68" s="8"/>
      <c r="I68" s="8"/>
      <c r="J68" s="8"/>
      <c r="K68" s="8"/>
      <c r="L68" s="8"/>
    </row>
    <row r="69">
      <c r="A69" s="66"/>
      <c r="B69" s="8"/>
      <c r="C69" s="17"/>
      <c r="D69" s="8"/>
      <c r="E69" s="8"/>
      <c r="F69" s="8"/>
      <c r="G69" s="8"/>
      <c r="H69" s="8"/>
      <c r="I69" s="8"/>
      <c r="J69" s="8"/>
      <c r="K69" s="8"/>
      <c r="L69" s="8"/>
    </row>
    <row r="70">
      <c r="A70" s="66"/>
      <c r="B70" s="8"/>
      <c r="C70" s="17"/>
      <c r="D70" s="8"/>
      <c r="E70" s="8"/>
      <c r="F70" s="8"/>
      <c r="G70" s="8"/>
      <c r="H70" s="8"/>
      <c r="I70" s="8"/>
      <c r="J70" s="8"/>
      <c r="K70" s="8"/>
      <c r="L70" s="8"/>
    </row>
    <row r="71">
      <c r="A71" s="66"/>
      <c r="B71" s="8"/>
      <c r="C71" s="17"/>
      <c r="D71" s="8"/>
      <c r="E71" s="8"/>
      <c r="F71" s="8"/>
      <c r="G71" s="8"/>
      <c r="H71" s="8"/>
      <c r="I71" s="8"/>
      <c r="J71" s="8"/>
      <c r="K71" s="8"/>
      <c r="L71" s="8"/>
    </row>
  </sheetData>
  <mergeCells count="13">
    <mergeCell ref="A6:A28"/>
    <mergeCell ref="A29:A31"/>
    <mergeCell ref="B29:B31"/>
    <mergeCell ref="A32:A36"/>
    <mergeCell ref="A42:D42"/>
    <mergeCell ref="A50:E50"/>
    <mergeCell ref="G1:I1"/>
    <mergeCell ref="J1:L1"/>
    <mergeCell ref="B7:B9"/>
    <mergeCell ref="B10:B14"/>
    <mergeCell ref="B18:B21"/>
    <mergeCell ref="B22:B25"/>
    <mergeCell ref="B26:B27"/>
  </mergeCells>
  <conditionalFormatting sqref="B3:D3 G4:L4">
    <cfRule type="cellIs" dxfId="0" priority="1" stopIfTrue="1" operator="equal">
      <formula>"Amrita"</formula>
    </cfRule>
  </conditionalFormatting>
  <conditionalFormatting sqref="B3:D3 G4:L4">
    <cfRule type="cellIs" dxfId="1" priority="2" stopIfTrue="1" operator="equal">
      <formula>"Soumya"</formula>
    </cfRule>
  </conditionalFormatting>
  <conditionalFormatting sqref="B3:D3 G4:L4">
    <cfRule type="cellIs" dxfId="2" priority="3" stopIfTrue="1" operator="equal">
      <formula>"Hannah"</formula>
    </cfRule>
  </conditionalFormatting>
  <conditionalFormatting sqref="B3:D3 G4:L4">
    <cfRule type="cellIs" dxfId="3" priority="4" stopIfTrue="1" operator="equal">
      <formula>"Naga Lakshmi"</formula>
    </cfRule>
  </conditionalFormatting>
  <conditionalFormatting sqref="B3:D3 G4:L4">
    <cfRule type="cellIs" dxfId="4" priority="5" stopIfTrue="1" operator="equal">
      <formula>"Aditya"</formula>
    </cfRule>
  </conditionalFormatting>
  <conditionalFormatting sqref="B3:D3 G4:L4">
    <cfRule type="cellIs" dxfId="5" priority="6" stopIfTrue="1" operator="equal">
      <formula>"Sakshi"</formula>
    </cfRule>
  </conditionalFormatting>
  <conditionalFormatting sqref="B3:D3 G4:L4">
    <cfRule type="cellIs" dxfId="6" priority="7" stopIfTrue="1" operator="equal">
      <formula>"Abdul"</formula>
    </cfRule>
  </conditionalFormatting>
  <conditionalFormatting sqref="B3:D3 G4:L4">
    <cfRule type="cellIs" dxfId="7" priority="8" stopIfTrue="1" operator="equal">
      <formula>"Sourabh"</formula>
    </cfRule>
  </conditionalFormatting>
  <conditionalFormatting sqref="B3:D3 G4:L4">
    <cfRule type="cellIs" dxfId="8" priority="9" stopIfTrue="1" operator="equal">
      <formula>"Prachi"</formula>
    </cfRule>
  </conditionalFormatting>
  <conditionalFormatting sqref="B3:D3 G4:L4">
    <cfRule type="cellIs" dxfId="9" priority="10" stopIfTrue="1" operator="equal">
      <formula>"Vishnu"</formula>
    </cfRule>
  </conditionalFormatting>
  <conditionalFormatting sqref="B3:D3 G4:L4">
    <cfRule type="cellIs" dxfId="10" priority="11" stopIfTrue="1" operator="equal">
      <formula>"Ivy"</formula>
    </cfRule>
  </conditionalFormatting>
  <conditionalFormatting sqref="B3:D3 G4:L4">
    <cfRule type="cellIs" dxfId="11" priority="12" stopIfTrue="1" operator="equal">
      <formula>"Rupal"</formula>
    </cfRule>
  </conditionalFormatting>
  <conditionalFormatting sqref="B3:D3 G4:L4">
    <cfRule type="cellIs" dxfId="12" priority="13" stopIfTrue="1" operator="equal">
      <formula>"Soumyajit"</formula>
    </cfRule>
  </conditionalFormatting>
  <conditionalFormatting sqref="B3:D3 G4:L4">
    <cfRule type="cellIs" dxfId="13" priority="14" stopIfTrue="1" operator="equal">
      <formula>"Propali"</formula>
    </cfRule>
  </conditionalFormatting>
  <conditionalFormatting sqref="B3:D3 G4:L4">
    <cfRule type="cellIs" dxfId="14" priority="15" stopIfTrue="1" operator="equal">
      <formula>"Akshay"</formula>
    </cfRule>
  </conditionalFormatting>
  <conditionalFormatting sqref="B3:D3 G4:L4">
    <cfRule type="cellIs" dxfId="15" priority="16" stopIfTrue="1" operator="equal">
      <formula>"Nachiket"</formula>
    </cfRule>
  </conditionalFormatting>
  <conditionalFormatting sqref="G6:L37">
    <cfRule type="cellIs" dxfId="16" priority="17" stopIfTrue="1" operator="equal">
      <formula>"OK"</formula>
    </cfRule>
  </conditionalFormatting>
  <conditionalFormatting sqref="G6:L37">
    <cfRule type="cellIs" dxfId="16" priority="18" stopIfTrue="1" operator="equal">
      <formula>"AUTO_PASS"</formula>
    </cfRule>
  </conditionalFormatting>
  <conditionalFormatting sqref="G6:L37">
    <cfRule type="cellIs" dxfId="17" priority="19" stopIfTrue="1" operator="equal">
      <formula>"AUTO_FAIL"</formula>
    </cfRule>
  </conditionalFormatting>
  <conditionalFormatting sqref="B3:D3 G4:L4 G6:L37">
    <cfRule type="cellIs" dxfId="18" priority="20" stopIfTrue="1" operator="equal">
      <formula>"Not Tested"</formula>
    </cfRule>
  </conditionalFormatting>
  <conditionalFormatting sqref="G6:L37">
    <cfRule type="cellIs" dxfId="19" priority="21" stopIfTrue="1" operator="equal">
      <formula>"N/A"</formula>
    </cfRule>
  </conditionalFormatting>
  <conditionalFormatting sqref="B2:D2 G3:L3">
    <cfRule type="containsText" dxfId="20" priority="22" stopIfTrue="1" operator="containsText" text="Incomplete">
      <formula>NOT(ISERROR(SEARCH(("Incomplete"),(B2))))</formula>
    </cfRule>
  </conditionalFormatting>
  <conditionalFormatting sqref="B2:D2 G3:L3">
    <cfRule type="containsText" dxfId="17" priority="23" stopIfTrue="1" operator="containsText" text="Broken">
      <formula>NOT(ISERROR(SEARCH(("Broken"),(B2))))</formula>
    </cfRule>
  </conditionalFormatting>
  <conditionalFormatting sqref="B2:D2 G3:L3">
    <cfRule type="containsText" dxfId="21" priority="24" stopIfTrue="1" operator="containsText" text="Some problems">
      <formula>NOT(ISERROR(SEARCH(("Some problems"),(B2))))</formula>
    </cfRule>
  </conditionalFormatting>
  <conditionalFormatting sqref="B2:D2 G3:L3">
    <cfRule type="containsText" dxfId="22" priority="25" stopIfTrue="1" operator="containsText" text="All OK">
      <formula>NOT(ISERROR(SEARCH(("All OK"),(B2))))</formula>
    </cfRule>
  </conditionalFormatting>
  <conditionalFormatting sqref="B2:D2 G3:L3">
    <cfRule type="containsText" dxfId="23" priority="26" stopIfTrue="1" operator="containsText" text="In Progress">
      <formula>NOT(ISERROR(SEARCH(("In Progress"),(B2))))</formula>
    </cfRule>
  </conditionalFormatting>
  <conditionalFormatting sqref="B2:D2 G3:L3">
    <cfRule type="containsText" dxfId="24" priority="27" stopIfTrue="1" operator="containsText" text="Not Tested">
      <formula>NOT(ISERROR(SEARCH(("Not Tested"),(B2))))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123</v>
      </c>
      <c r="B1" s="2" t="s">
        <v>108</v>
      </c>
      <c r="C1" s="2" t="s">
        <v>109</v>
      </c>
      <c r="D1" s="2" t="s">
        <v>110</v>
      </c>
      <c r="E1" s="3"/>
      <c r="F1" s="4" t="s">
        <v>0</v>
      </c>
      <c r="G1" s="5" t="s">
        <v>123</v>
      </c>
      <c r="H1" s="6"/>
      <c r="I1" s="7"/>
      <c r="J1" s="5" t="s">
        <v>124</v>
      </c>
      <c r="K1" s="6"/>
      <c r="L1" s="7"/>
    </row>
    <row r="2">
      <c r="A2" s="9"/>
      <c r="B2" s="10" t="s">
        <v>10</v>
      </c>
      <c r="C2" s="10" t="s">
        <v>10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10</v>
      </c>
      <c r="I3" s="15" t="s">
        <v>10</v>
      </c>
      <c r="J3" s="15" t="s">
        <v>10</v>
      </c>
      <c r="K3" s="15" t="s">
        <v>10</v>
      </c>
      <c r="L3" s="15" t="s">
        <v>11</v>
      </c>
    </row>
    <row r="4">
      <c r="A4" s="16"/>
      <c r="B4" s="8"/>
      <c r="C4" s="17"/>
      <c r="D4" s="8"/>
      <c r="E4" s="8"/>
      <c r="F4" s="18"/>
      <c r="G4" s="15" t="s">
        <v>13</v>
      </c>
      <c r="H4" s="15" t="s">
        <v>14</v>
      </c>
      <c r="I4" s="15" t="s">
        <v>13</v>
      </c>
      <c r="J4" s="15" t="s">
        <v>13</v>
      </c>
      <c r="K4" s="15" t="s">
        <v>13</v>
      </c>
      <c r="L4" s="15" t="s">
        <v>14</v>
      </c>
    </row>
    <row r="5">
      <c r="A5" s="19" t="s">
        <v>15</v>
      </c>
      <c r="B5" s="20" t="s">
        <v>16</v>
      </c>
      <c r="C5" s="20" t="s">
        <v>17</v>
      </c>
      <c r="D5" s="21" t="s">
        <v>18</v>
      </c>
      <c r="E5" s="21" t="s">
        <v>19</v>
      </c>
      <c r="F5" s="22" t="s">
        <v>20</v>
      </c>
      <c r="G5" s="23"/>
      <c r="H5" s="23"/>
      <c r="I5" s="23"/>
      <c r="J5" s="23"/>
      <c r="K5" s="23"/>
      <c r="L5" s="23"/>
    </row>
    <row r="6">
      <c r="A6" s="56" t="s">
        <v>125</v>
      </c>
      <c r="B6" s="25"/>
      <c r="C6" s="26" t="s">
        <v>21</v>
      </c>
      <c r="D6" s="8"/>
      <c r="E6" s="8"/>
      <c r="F6" s="18"/>
      <c r="G6" s="28"/>
      <c r="H6" s="28"/>
      <c r="I6" s="28"/>
      <c r="J6" s="28"/>
      <c r="K6" s="28"/>
      <c r="L6" s="28" t="s">
        <v>24</v>
      </c>
    </row>
    <row r="7">
      <c r="A7" s="30"/>
      <c r="B7" s="31" t="s">
        <v>25</v>
      </c>
      <c r="C7" s="32" t="s">
        <v>26</v>
      </c>
      <c r="D7" s="8"/>
      <c r="E7" s="8"/>
      <c r="F7" s="99" t="s">
        <v>27</v>
      </c>
      <c r="G7" s="28"/>
      <c r="H7" s="34"/>
      <c r="I7" s="34"/>
      <c r="J7" s="28"/>
      <c r="K7" s="34"/>
      <c r="L7" s="34" t="s">
        <v>24</v>
      </c>
    </row>
    <row r="8">
      <c r="A8" s="30"/>
      <c r="B8" s="30"/>
      <c r="C8" s="32" t="s">
        <v>28</v>
      </c>
      <c r="D8" s="8"/>
      <c r="E8" s="8"/>
      <c r="F8" s="59" t="s">
        <v>30</v>
      </c>
      <c r="G8" s="28"/>
      <c r="H8" s="37"/>
      <c r="I8" s="37"/>
      <c r="J8" s="28"/>
      <c r="K8" s="37"/>
      <c r="L8" s="37" t="s">
        <v>24</v>
      </c>
    </row>
    <row r="9">
      <c r="A9" s="30"/>
      <c r="B9" s="38"/>
      <c r="C9" s="32" t="s">
        <v>31</v>
      </c>
      <c r="D9" s="8"/>
      <c r="E9" s="8"/>
      <c r="F9" s="18"/>
      <c r="G9" s="28"/>
      <c r="H9" s="39"/>
      <c r="I9" s="40"/>
      <c r="J9" s="28"/>
      <c r="K9" s="39"/>
      <c r="L9" s="40" t="s">
        <v>24</v>
      </c>
    </row>
    <row r="10">
      <c r="A10" s="30"/>
      <c r="B10" s="31" t="s">
        <v>32</v>
      </c>
      <c r="C10" s="32" t="s">
        <v>33</v>
      </c>
      <c r="D10" s="8"/>
      <c r="E10" s="8"/>
      <c r="F10" s="59" t="s">
        <v>34</v>
      </c>
      <c r="G10" s="28"/>
      <c r="H10" s="41"/>
      <c r="I10" s="40"/>
      <c r="J10" s="28"/>
      <c r="K10" s="41"/>
      <c r="L10" s="40" t="s">
        <v>24</v>
      </c>
    </row>
    <row r="11">
      <c r="A11" s="30"/>
      <c r="B11" s="30"/>
      <c r="C11" s="42" t="s">
        <v>35</v>
      </c>
      <c r="D11" s="8"/>
      <c r="E11" s="8"/>
      <c r="F11" s="99" t="s">
        <v>114</v>
      </c>
      <c r="G11" s="28"/>
      <c r="H11" s="43"/>
      <c r="I11" s="40"/>
      <c r="J11" s="28"/>
      <c r="K11" s="43"/>
      <c r="L11" s="40"/>
    </row>
    <row r="12">
      <c r="A12" s="30"/>
      <c r="B12" s="30"/>
      <c r="C12" s="32" t="s">
        <v>37</v>
      </c>
      <c r="D12" s="8"/>
      <c r="E12" s="8"/>
      <c r="F12" s="44"/>
      <c r="G12" s="28"/>
      <c r="H12" s="43"/>
      <c r="I12" s="43"/>
      <c r="J12" s="28"/>
      <c r="K12" s="43"/>
      <c r="L12" s="43"/>
    </row>
    <row r="13">
      <c r="A13" s="30"/>
      <c r="B13" s="30"/>
      <c r="C13" s="32" t="s">
        <v>38</v>
      </c>
      <c r="D13" s="8"/>
      <c r="E13" s="8"/>
      <c r="F13" s="44"/>
      <c r="G13" s="28"/>
      <c r="H13" s="43"/>
      <c r="I13" s="43"/>
      <c r="J13" s="28"/>
      <c r="K13" s="43"/>
      <c r="L13" s="43"/>
    </row>
    <row r="14">
      <c r="A14" s="30"/>
      <c r="B14" s="38"/>
      <c r="C14" s="32" t="s">
        <v>39</v>
      </c>
      <c r="D14" s="8"/>
      <c r="E14" s="8"/>
      <c r="F14" s="45" t="s">
        <v>40</v>
      </c>
      <c r="G14" s="28"/>
      <c r="H14" s="39"/>
      <c r="I14" s="40"/>
      <c r="J14" s="28"/>
      <c r="K14" s="39"/>
      <c r="L14" s="40"/>
    </row>
    <row r="15">
      <c r="A15" s="30"/>
      <c r="B15" s="42" t="s">
        <v>41</v>
      </c>
      <c r="C15" s="32" t="s">
        <v>42</v>
      </c>
      <c r="D15" s="8"/>
      <c r="E15" s="8"/>
      <c r="F15" s="18"/>
      <c r="G15" s="28"/>
      <c r="H15" s="46"/>
      <c r="I15" s="47"/>
      <c r="J15" s="28"/>
      <c r="K15" s="46"/>
      <c r="L15" s="47"/>
    </row>
    <row r="16">
      <c r="A16" s="30"/>
      <c r="B16" s="32"/>
      <c r="C16" s="32" t="s">
        <v>43</v>
      </c>
      <c r="D16" s="8"/>
      <c r="E16" s="8"/>
      <c r="F16" s="49"/>
      <c r="G16" s="28"/>
      <c r="H16" s="39"/>
      <c r="I16" s="43"/>
      <c r="J16" s="28"/>
      <c r="K16" s="39"/>
      <c r="L16" s="43"/>
    </row>
    <row r="17">
      <c r="A17" s="30"/>
      <c r="B17" s="32" t="s">
        <v>45</v>
      </c>
      <c r="C17" s="32" t="s">
        <v>46</v>
      </c>
      <c r="D17" s="8"/>
      <c r="E17" s="8"/>
      <c r="F17" s="49" t="s">
        <v>48</v>
      </c>
      <c r="G17" s="28"/>
      <c r="H17" s="39"/>
      <c r="I17" s="43"/>
      <c r="J17" s="28"/>
      <c r="K17" s="39"/>
      <c r="L17" s="43" t="s">
        <v>24</v>
      </c>
    </row>
    <row r="18">
      <c r="A18" s="30"/>
      <c r="B18" s="51" t="s">
        <v>49</v>
      </c>
      <c r="C18" s="32" t="s">
        <v>50</v>
      </c>
      <c r="D18" s="8"/>
      <c r="E18" s="8"/>
      <c r="F18" s="18"/>
      <c r="G18" s="28"/>
      <c r="H18" s="39"/>
      <c r="I18" s="40"/>
      <c r="J18" s="28"/>
      <c r="K18" s="39"/>
      <c r="L18" s="40" t="s">
        <v>24</v>
      </c>
    </row>
    <row r="19">
      <c r="A19" s="30"/>
      <c r="B19" s="30"/>
      <c r="C19" s="32" t="s">
        <v>51</v>
      </c>
      <c r="D19" s="8"/>
      <c r="E19" s="8"/>
      <c r="F19" s="49" t="s">
        <v>52</v>
      </c>
      <c r="G19" s="28"/>
      <c r="H19" s="39"/>
      <c r="I19" s="52"/>
      <c r="J19" s="28"/>
      <c r="K19" s="39"/>
      <c r="L19" s="52" t="s">
        <v>126</v>
      </c>
    </row>
    <row r="20">
      <c r="A20" s="30"/>
      <c r="B20" s="30"/>
      <c r="C20" s="32" t="s">
        <v>53</v>
      </c>
      <c r="D20" s="8"/>
      <c r="E20" s="8"/>
      <c r="F20" s="18"/>
      <c r="G20" s="28"/>
      <c r="H20" s="39"/>
      <c r="I20" s="52"/>
      <c r="J20" s="28"/>
      <c r="K20" s="39"/>
      <c r="L20" s="52" t="s">
        <v>24</v>
      </c>
    </row>
    <row r="21">
      <c r="A21" s="30"/>
      <c r="B21" s="38"/>
      <c r="C21" s="32" t="s">
        <v>54</v>
      </c>
      <c r="D21" s="8"/>
      <c r="E21" s="8"/>
      <c r="F21" s="18"/>
      <c r="G21" s="28"/>
      <c r="H21" s="28"/>
      <c r="I21" s="53"/>
      <c r="J21" s="28"/>
      <c r="K21" s="28"/>
      <c r="L21" s="53" t="s">
        <v>24</v>
      </c>
    </row>
    <row r="22">
      <c r="A22" s="30"/>
      <c r="B22" s="51" t="s">
        <v>55</v>
      </c>
      <c r="C22" s="32" t="s">
        <v>56</v>
      </c>
      <c r="D22" s="8"/>
      <c r="E22" s="8"/>
      <c r="F22" s="18"/>
      <c r="G22" s="28"/>
      <c r="H22" s="28"/>
      <c r="I22" s="28"/>
      <c r="J22" s="28"/>
      <c r="K22" s="28"/>
      <c r="L22" s="28"/>
    </row>
    <row r="23">
      <c r="A23" s="30"/>
      <c r="B23" s="30"/>
      <c r="C23" s="32" t="s">
        <v>57</v>
      </c>
      <c r="D23" s="8"/>
      <c r="E23" s="8"/>
      <c r="F23" s="18"/>
      <c r="G23" s="28"/>
      <c r="H23" s="28"/>
      <c r="I23" s="28"/>
      <c r="J23" s="28"/>
      <c r="K23" s="28"/>
      <c r="L23" s="28" t="s">
        <v>24</v>
      </c>
    </row>
    <row r="24">
      <c r="A24" s="30"/>
      <c r="B24" s="30"/>
      <c r="C24" s="54" t="s">
        <v>58</v>
      </c>
      <c r="D24" s="8"/>
      <c r="E24" s="8"/>
      <c r="F24" s="18"/>
      <c r="G24" s="28"/>
      <c r="H24" s="28"/>
      <c r="I24" s="40"/>
      <c r="J24" s="28"/>
      <c r="K24" s="28"/>
      <c r="L24" s="40" t="s">
        <v>24</v>
      </c>
    </row>
    <row r="25">
      <c r="A25" s="30"/>
      <c r="B25" s="38"/>
      <c r="C25" s="54" t="s">
        <v>59</v>
      </c>
      <c r="D25" s="8"/>
      <c r="E25" s="8"/>
      <c r="F25" s="18"/>
      <c r="G25" s="28"/>
      <c r="H25" s="28"/>
      <c r="I25" s="40"/>
      <c r="J25" s="28"/>
      <c r="K25" s="28"/>
      <c r="L25" s="40" t="s">
        <v>24</v>
      </c>
    </row>
    <row r="26">
      <c r="A26" s="30"/>
      <c r="B26" s="31" t="s">
        <v>60</v>
      </c>
      <c r="C26" s="32" t="s">
        <v>61</v>
      </c>
      <c r="D26" s="8"/>
      <c r="E26" s="8"/>
      <c r="F26" s="18"/>
      <c r="G26" s="28"/>
      <c r="H26" s="40"/>
      <c r="I26" s="28"/>
      <c r="J26" s="28"/>
      <c r="K26" s="40"/>
      <c r="L26" s="28" t="s">
        <v>74</v>
      </c>
    </row>
    <row r="27">
      <c r="A27" s="30"/>
      <c r="B27" s="38"/>
      <c r="C27" s="32" t="s">
        <v>62</v>
      </c>
      <c r="D27" s="8"/>
      <c r="E27" s="8"/>
      <c r="F27" s="18"/>
      <c r="G27" s="28"/>
      <c r="H27" s="40"/>
      <c r="I27" s="28"/>
      <c r="J27" s="28"/>
      <c r="K27" s="40"/>
      <c r="L27" s="28" t="s">
        <v>24</v>
      </c>
    </row>
    <row r="28">
      <c r="A28" s="38"/>
      <c r="B28" s="32" t="s">
        <v>63</v>
      </c>
      <c r="C28" s="32" t="s">
        <v>64</v>
      </c>
      <c r="D28" s="8"/>
      <c r="E28" s="8"/>
      <c r="F28" s="49" t="s">
        <v>65</v>
      </c>
      <c r="G28" s="28"/>
      <c r="H28" s="28"/>
      <c r="I28" s="40"/>
      <c r="J28" s="28"/>
      <c r="K28" s="28"/>
      <c r="L28" s="40" t="s">
        <v>24</v>
      </c>
    </row>
    <row r="29">
      <c r="A29" s="56" t="s">
        <v>72</v>
      </c>
      <c r="B29" s="25"/>
      <c r="C29" s="55" t="s">
        <v>73</v>
      </c>
      <c r="D29" s="8"/>
      <c r="E29" s="8"/>
      <c r="F29" s="59" t="s">
        <v>75</v>
      </c>
      <c r="G29" s="28"/>
      <c r="H29" s="28"/>
      <c r="I29" s="28"/>
      <c r="J29" s="28"/>
      <c r="K29" s="28"/>
      <c r="L29" s="28" t="s">
        <v>24</v>
      </c>
    </row>
    <row r="30">
      <c r="A30" s="30"/>
      <c r="B30" s="25"/>
      <c r="C30" s="55" t="s">
        <v>76</v>
      </c>
      <c r="D30" s="8"/>
      <c r="E30" s="8"/>
      <c r="F30" s="59"/>
      <c r="G30" s="28"/>
      <c r="H30" s="28"/>
      <c r="I30" s="28"/>
      <c r="J30" s="28"/>
      <c r="K30" s="28"/>
      <c r="L30" s="28" t="s">
        <v>24</v>
      </c>
    </row>
    <row r="31">
      <c r="A31" s="30"/>
      <c r="B31" s="25"/>
      <c r="C31" s="32" t="s">
        <v>77</v>
      </c>
      <c r="D31" s="8"/>
      <c r="E31" s="8"/>
      <c r="F31" s="18"/>
      <c r="G31" s="28"/>
      <c r="H31" s="28"/>
      <c r="I31" s="28"/>
      <c r="J31" s="28"/>
      <c r="K31" s="28"/>
      <c r="L31" s="28" t="s">
        <v>24</v>
      </c>
    </row>
    <row r="32">
      <c r="A32" s="30"/>
      <c r="B32" s="25"/>
      <c r="C32" s="60" t="s">
        <v>78</v>
      </c>
      <c r="D32" s="8"/>
      <c r="E32" s="8"/>
      <c r="F32" s="8"/>
      <c r="G32" s="61"/>
      <c r="H32" s="61"/>
      <c r="I32" s="61"/>
      <c r="J32" s="61"/>
      <c r="K32" s="61"/>
      <c r="L32" s="61" t="s">
        <v>24</v>
      </c>
    </row>
    <row r="33">
      <c r="A33" s="38"/>
      <c r="B33" s="25"/>
      <c r="C33" s="32" t="s">
        <v>79</v>
      </c>
      <c r="D33" s="8"/>
      <c r="E33" s="8"/>
      <c r="F33" s="8"/>
      <c r="G33" s="61"/>
      <c r="H33" s="61"/>
      <c r="I33" s="61"/>
      <c r="J33" s="61"/>
      <c r="K33" s="61"/>
      <c r="L33" s="61" t="s">
        <v>24</v>
      </c>
    </row>
    <row r="34">
      <c r="A34" s="62"/>
      <c r="B34" s="25">
        <v>34.0</v>
      </c>
      <c r="C34" s="25" t="s">
        <v>127</v>
      </c>
      <c r="D34" s="25"/>
      <c r="E34" s="25"/>
      <c r="F34" s="54" t="s">
        <v>80</v>
      </c>
      <c r="G34" s="64"/>
      <c r="H34" s="64"/>
      <c r="I34" s="65"/>
      <c r="J34" s="64"/>
      <c r="K34" s="64"/>
      <c r="L34" s="65"/>
    </row>
    <row r="35">
      <c r="A35" s="66"/>
      <c r="B35" s="8"/>
      <c r="C35" s="17"/>
      <c r="D35" s="8"/>
      <c r="E35" s="8"/>
      <c r="F35" s="8"/>
      <c r="G35" s="8"/>
      <c r="H35" s="8"/>
      <c r="I35" s="8"/>
      <c r="J35" s="8"/>
      <c r="K35" s="8"/>
      <c r="L35" s="8"/>
    </row>
    <row r="36">
      <c r="A36" s="66"/>
      <c r="B36" s="8"/>
      <c r="C36" s="17"/>
      <c r="D36" s="8"/>
      <c r="E36" s="8"/>
      <c r="F36" s="8"/>
      <c r="G36" s="8"/>
      <c r="H36" s="8"/>
      <c r="I36" s="8"/>
      <c r="J36" s="8"/>
      <c r="K36" s="8"/>
      <c r="L36" s="8"/>
    </row>
    <row r="37">
      <c r="A37" s="66"/>
      <c r="B37" s="8"/>
      <c r="C37" s="17"/>
      <c r="D37" s="8"/>
      <c r="E37" s="8"/>
      <c r="F37" s="8"/>
      <c r="G37" s="8"/>
      <c r="H37" s="8"/>
      <c r="I37" s="8"/>
      <c r="J37" s="8"/>
      <c r="K37" s="8"/>
      <c r="L37" s="8"/>
    </row>
    <row r="38">
      <c r="A38" s="66"/>
      <c r="B38" s="8"/>
      <c r="C38" s="17"/>
      <c r="D38" s="8"/>
      <c r="E38" s="8"/>
      <c r="F38" s="8"/>
      <c r="G38" s="8"/>
      <c r="H38" s="8"/>
      <c r="I38" s="8"/>
      <c r="J38" s="8"/>
      <c r="K38" s="8"/>
      <c r="L38" s="8"/>
    </row>
    <row r="39">
      <c r="A39" s="67" t="s">
        <v>128</v>
      </c>
      <c r="B39" s="68"/>
      <c r="C39" s="68"/>
      <c r="D39" s="69"/>
      <c r="E39" s="8"/>
      <c r="F39" s="8"/>
      <c r="G39" s="8"/>
      <c r="H39" s="8"/>
      <c r="I39" s="8"/>
      <c r="J39" s="8"/>
      <c r="K39" s="8"/>
      <c r="L39" s="8"/>
    </row>
    <row r="40">
      <c r="A40" s="62"/>
      <c r="B40" s="70" t="s">
        <v>5</v>
      </c>
      <c r="C40" s="70" t="s">
        <v>81</v>
      </c>
      <c r="D40" s="70" t="s">
        <v>7</v>
      </c>
      <c r="E40" s="8"/>
      <c r="F40" s="8"/>
      <c r="G40" s="8"/>
      <c r="H40" s="8"/>
      <c r="I40" s="8"/>
      <c r="J40" s="8"/>
      <c r="K40" s="8"/>
      <c r="L40" s="8"/>
    </row>
    <row r="41">
      <c r="A41" s="71" t="s">
        <v>82</v>
      </c>
      <c r="B41" s="25">
        <v>0.0</v>
      </c>
      <c r="C41" s="25">
        <v>0.0</v>
      </c>
      <c r="D41" s="25">
        <v>0.0</v>
      </c>
      <c r="E41" s="8"/>
      <c r="F41" s="8"/>
      <c r="G41" s="8"/>
      <c r="H41" s="8"/>
      <c r="I41" s="8"/>
      <c r="J41" s="8"/>
      <c r="K41" s="8"/>
      <c r="L41" s="8"/>
    </row>
    <row r="42">
      <c r="A42" s="71" t="s">
        <v>83</v>
      </c>
      <c r="B42" s="25">
        <v>0.0</v>
      </c>
      <c r="C42" s="25">
        <v>0.0</v>
      </c>
      <c r="D42" s="25">
        <v>0.0</v>
      </c>
      <c r="E42" s="8"/>
      <c r="F42" s="8"/>
      <c r="G42" s="8"/>
      <c r="H42" s="8"/>
      <c r="I42" s="8"/>
      <c r="J42" s="8"/>
      <c r="K42" s="8"/>
      <c r="L42" s="8"/>
    </row>
    <row r="43">
      <c r="A43" s="71" t="s">
        <v>84</v>
      </c>
      <c r="B43" s="25">
        <v>0.0</v>
      </c>
      <c r="C43" s="25">
        <v>0.0</v>
      </c>
      <c r="D43" s="25">
        <v>0.0</v>
      </c>
      <c r="E43" s="8"/>
      <c r="F43" s="8"/>
      <c r="G43" s="8"/>
      <c r="H43" s="8"/>
      <c r="I43" s="8"/>
      <c r="J43" s="8"/>
      <c r="K43" s="8"/>
      <c r="L43" s="8"/>
    </row>
    <row r="44">
      <c r="A44" s="71" t="s">
        <v>85</v>
      </c>
      <c r="B44" s="25">
        <v>0.0</v>
      </c>
      <c r="C44" s="25">
        <v>26.0</v>
      </c>
      <c r="D44" s="25">
        <v>0.0</v>
      </c>
      <c r="E44" s="8"/>
      <c r="F44" s="8"/>
      <c r="G44" s="8"/>
      <c r="H44" s="8"/>
      <c r="I44" s="8"/>
      <c r="J44" s="8"/>
      <c r="K44" s="8"/>
      <c r="L44" s="8"/>
    </row>
    <row r="45">
      <c r="A45" s="66"/>
      <c r="B45" s="8"/>
      <c r="C45" s="17"/>
      <c r="D45" s="8"/>
      <c r="E45" s="8"/>
      <c r="F45" s="8"/>
      <c r="G45" s="8"/>
      <c r="H45" s="8"/>
      <c r="I45" s="8"/>
      <c r="J45" s="8"/>
      <c r="K45" s="8"/>
      <c r="L45" s="8"/>
    </row>
    <row r="46">
      <c r="A46" s="66"/>
      <c r="B46" s="8"/>
      <c r="C46" s="17"/>
      <c r="D46" s="8"/>
      <c r="E46" s="8"/>
      <c r="F46" s="8"/>
      <c r="G46" s="8"/>
      <c r="H46" s="8"/>
      <c r="I46" s="8"/>
      <c r="J46" s="8"/>
      <c r="K46" s="8"/>
      <c r="L46" s="8"/>
    </row>
    <row r="47">
      <c r="A47" s="72" t="s">
        <v>86</v>
      </c>
      <c r="B47" s="68"/>
      <c r="C47" s="68"/>
      <c r="D47" s="68"/>
      <c r="E47" s="69"/>
      <c r="F47" s="8"/>
      <c r="G47" s="8"/>
      <c r="H47" s="8"/>
      <c r="I47" s="8"/>
      <c r="J47" s="8"/>
      <c r="K47" s="8"/>
      <c r="L47" s="8"/>
    </row>
    <row r="48">
      <c r="A48" s="71" t="s">
        <v>8</v>
      </c>
      <c r="B48" s="25"/>
      <c r="C48" s="73"/>
      <c r="D48" s="25"/>
      <c r="E48" s="70" t="s">
        <v>87</v>
      </c>
      <c r="F48" s="8"/>
      <c r="G48" s="8"/>
      <c r="H48" s="8"/>
      <c r="I48" s="8"/>
      <c r="J48" s="8"/>
      <c r="K48" s="8"/>
      <c r="L48" s="8"/>
    </row>
    <row r="49">
      <c r="A49" s="74" t="s">
        <v>88</v>
      </c>
      <c r="B49" s="25"/>
      <c r="C49" s="73"/>
      <c r="D49" s="25"/>
      <c r="E49" s="75" t="s">
        <v>24</v>
      </c>
      <c r="F49" s="8"/>
      <c r="G49" s="8"/>
      <c r="H49" s="8"/>
      <c r="I49" s="8"/>
      <c r="J49" s="8"/>
      <c r="K49" s="8"/>
      <c r="L49" s="8"/>
    </row>
    <row r="50">
      <c r="A50" s="76" t="s">
        <v>89</v>
      </c>
      <c r="B50" s="25"/>
      <c r="C50" s="73"/>
      <c r="D50" s="25"/>
      <c r="E50" s="77" t="s">
        <v>13</v>
      </c>
      <c r="F50" s="8"/>
      <c r="G50" s="8"/>
      <c r="H50" s="8"/>
      <c r="I50" s="8"/>
      <c r="J50" s="8"/>
      <c r="K50" s="8"/>
      <c r="L50" s="8"/>
    </row>
    <row r="51">
      <c r="A51" s="78" t="s">
        <v>90</v>
      </c>
      <c r="B51" s="25"/>
      <c r="C51" s="73"/>
      <c r="D51" s="25"/>
      <c r="E51" s="79" t="s">
        <v>91</v>
      </c>
      <c r="F51" s="8"/>
      <c r="G51" s="8"/>
      <c r="H51" s="8"/>
      <c r="I51" s="8"/>
      <c r="J51" s="8"/>
      <c r="K51" s="8"/>
      <c r="L51" s="8"/>
    </row>
    <row r="52">
      <c r="A52" s="80" t="s">
        <v>92</v>
      </c>
      <c r="B52" s="25"/>
      <c r="C52" s="73"/>
      <c r="D52" s="25"/>
      <c r="E52" s="81" t="s">
        <v>10</v>
      </c>
      <c r="F52" s="8"/>
      <c r="G52" s="8"/>
      <c r="H52" s="8"/>
      <c r="I52" s="8"/>
      <c r="J52" s="8"/>
      <c r="K52" s="8"/>
      <c r="L52" s="8"/>
    </row>
    <row r="53">
      <c r="A53" s="82" t="s">
        <v>93</v>
      </c>
      <c r="B53" s="25"/>
      <c r="C53" s="73"/>
      <c r="D53" s="25"/>
      <c r="E53" s="83" t="s">
        <v>94</v>
      </c>
      <c r="F53" s="8"/>
      <c r="G53" s="8"/>
      <c r="H53" s="8"/>
      <c r="I53" s="8"/>
      <c r="J53" s="8"/>
      <c r="K53" s="8"/>
      <c r="L53" s="8"/>
    </row>
    <row r="54">
      <c r="A54" s="84" t="s">
        <v>95</v>
      </c>
      <c r="B54" s="25"/>
      <c r="C54" s="73"/>
      <c r="D54" s="25"/>
      <c r="E54" s="85" t="s">
        <v>11</v>
      </c>
      <c r="F54" s="8"/>
      <c r="G54" s="8"/>
      <c r="H54" s="8"/>
      <c r="I54" s="8"/>
      <c r="J54" s="8"/>
      <c r="K54" s="8"/>
      <c r="L54" s="8"/>
    </row>
    <row r="55">
      <c r="A55" s="86" t="s">
        <v>96</v>
      </c>
      <c r="B55" s="25"/>
      <c r="C55" s="73"/>
      <c r="D55" s="25"/>
      <c r="E55" s="87" t="s">
        <v>97</v>
      </c>
      <c r="F55" s="8"/>
      <c r="G55" s="8"/>
      <c r="H55" s="8"/>
      <c r="I55" s="8"/>
      <c r="J55" s="8"/>
      <c r="K55" s="8"/>
      <c r="L55" s="8"/>
    </row>
    <row r="56">
      <c r="A56" s="88" t="s">
        <v>98</v>
      </c>
      <c r="B56" s="25"/>
      <c r="C56" s="73"/>
      <c r="D56" s="25"/>
      <c r="E56" s="89" t="s">
        <v>12</v>
      </c>
      <c r="F56" s="8"/>
      <c r="G56" s="8"/>
      <c r="H56" s="8"/>
      <c r="I56" s="8"/>
      <c r="J56" s="8"/>
      <c r="K56" s="8"/>
      <c r="L56" s="8"/>
    </row>
    <row r="57">
      <c r="A57" s="90" t="s">
        <v>99</v>
      </c>
      <c r="B57" s="25"/>
      <c r="C57" s="73"/>
      <c r="D57" s="25"/>
      <c r="E57" s="91" t="s">
        <v>100</v>
      </c>
      <c r="F57" s="8"/>
      <c r="G57" s="8"/>
      <c r="H57" s="8"/>
      <c r="I57" s="8"/>
      <c r="J57" s="8"/>
      <c r="K57" s="8"/>
      <c r="L57" s="8"/>
    </row>
    <row r="58">
      <c r="A58" s="92" t="s">
        <v>101</v>
      </c>
      <c r="B58" s="25"/>
      <c r="C58" s="73"/>
      <c r="D58" s="25"/>
      <c r="E58" s="25"/>
      <c r="F58" s="8"/>
      <c r="G58" s="8"/>
      <c r="H58" s="8"/>
      <c r="I58" s="8"/>
      <c r="J58" s="8"/>
      <c r="K58" s="8"/>
      <c r="L58" s="8"/>
    </row>
    <row r="59">
      <c r="A59" s="93" t="s">
        <v>102</v>
      </c>
      <c r="B59" s="25"/>
      <c r="C59" s="73"/>
      <c r="D59" s="25"/>
      <c r="E59" s="25"/>
      <c r="F59" s="8"/>
      <c r="G59" s="8"/>
      <c r="H59" s="8"/>
      <c r="I59" s="8"/>
      <c r="J59" s="8"/>
      <c r="K59" s="8"/>
      <c r="L59" s="8"/>
    </row>
    <row r="60">
      <c r="A60" s="94" t="s">
        <v>103</v>
      </c>
      <c r="B60" s="25"/>
      <c r="C60" s="73"/>
      <c r="D60" s="25"/>
      <c r="E60" s="25"/>
      <c r="F60" s="8"/>
      <c r="G60" s="8"/>
      <c r="H60" s="8"/>
      <c r="I60" s="8"/>
      <c r="J60" s="8"/>
      <c r="K60" s="8"/>
      <c r="L60" s="8"/>
    </row>
    <row r="61">
      <c r="A61" s="95" t="s">
        <v>104</v>
      </c>
      <c r="B61" s="25"/>
      <c r="C61" s="73"/>
      <c r="D61" s="25"/>
      <c r="E61" s="25"/>
      <c r="F61" s="8"/>
      <c r="G61" s="8"/>
      <c r="H61" s="8"/>
      <c r="I61" s="8"/>
      <c r="J61" s="8"/>
      <c r="K61" s="8"/>
      <c r="L61" s="8"/>
    </row>
    <row r="62">
      <c r="A62" s="96" t="s">
        <v>105</v>
      </c>
      <c r="B62" s="25"/>
      <c r="C62" s="73"/>
      <c r="D62" s="25"/>
      <c r="E62" s="25"/>
      <c r="F62" s="8"/>
      <c r="G62" s="8"/>
      <c r="H62" s="8"/>
      <c r="I62" s="8"/>
      <c r="J62" s="8"/>
      <c r="K62" s="8"/>
      <c r="L62" s="8"/>
    </row>
    <row r="63">
      <c r="A63" s="97" t="s">
        <v>106</v>
      </c>
      <c r="B63" s="25"/>
      <c r="C63" s="73"/>
      <c r="D63" s="25"/>
      <c r="E63" s="25"/>
      <c r="F63" s="8"/>
      <c r="G63" s="8"/>
      <c r="H63" s="8"/>
      <c r="I63" s="8"/>
      <c r="J63" s="8"/>
      <c r="K63" s="8"/>
      <c r="L63" s="8"/>
    </row>
    <row r="64">
      <c r="A64" s="66"/>
      <c r="B64" s="8"/>
      <c r="C64" s="17"/>
      <c r="D64" s="8"/>
      <c r="E64" s="8"/>
      <c r="F64" s="8"/>
      <c r="G64" s="8"/>
      <c r="H64" s="8"/>
      <c r="I64" s="8"/>
      <c r="J64" s="8"/>
      <c r="K64" s="8"/>
      <c r="L64" s="8"/>
    </row>
    <row r="65">
      <c r="A65" s="66"/>
      <c r="B65" s="8"/>
      <c r="C65" s="17"/>
      <c r="D65" s="8"/>
      <c r="E65" s="8"/>
      <c r="F65" s="8"/>
      <c r="G65" s="8"/>
      <c r="H65" s="8"/>
      <c r="I65" s="8"/>
      <c r="J65" s="8"/>
      <c r="K65" s="8"/>
      <c r="L65" s="8"/>
    </row>
    <row r="66">
      <c r="A66" s="66"/>
      <c r="B66" s="8"/>
      <c r="C66" s="17"/>
      <c r="D66" s="8"/>
      <c r="E66" s="8"/>
      <c r="F66" s="8"/>
      <c r="G66" s="8"/>
      <c r="H66" s="8"/>
      <c r="I66" s="8"/>
      <c r="J66" s="8"/>
      <c r="K66" s="8"/>
      <c r="L66" s="8"/>
    </row>
    <row r="67">
      <c r="A67" s="66"/>
      <c r="B67" s="8"/>
      <c r="C67" s="17"/>
      <c r="D67" s="8"/>
      <c r="E67" s="8"/>
      <c r="F67" s="8"/>
      <c r="G67" s="8"/>
      <c r="H67" s="8"/>
      <c r="I67" s="8"/>
      <c r="J67" s="8"/>
      <c r="K67" s="8"/>
      <c r="L67" s="8"/>
    </row>
    <row r="68">
      <c r="A68" s="66"/>
      <c r="B68" s="8"/>
      <c r="C68" s="17"/>
      <c r="D68" s="8"/>
      <c r="E68" s="8"/>
      <c r="F68" s="8"/>
      <c r="G68" s="8"/>
      <c r="H68" s="8"/>
      <c r="I68" s="8"/>
      <c r="J68" s="8"/>
      <c r="K68" s="8"/>
      <c r="L68" s="8"/>
    </row>
  </sheetData>
  <mergeCells count="11">
    <mergeCell ref="A6:A28"/>
    <mergeCell ref="A29:A33"/>
    <mergeCell ref="A39:D39"/>
    <mergeCell ref="A47:E47"/>
    <mergeCell ref="G1:I1"/>
    <mergeCell ref="J1:L1"/>
    <mergeCell ref="B7:B9"/>
    <mergeCell ref="B10:B14"/>
    <mergeCell ref="B18:B21"/>
    <mergeCell ref="B22:B25"/>
    <mergeCell ref="B26:B27"/>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H34 I6:I33 J6:K34 L6:L33">
    <cfRule type="cellIs" dxfId="16" priority="18" stopIfTrue="1" operator="equal">
      <formula>"OK"</formula>
    </cfRule>
  </conditionalFormatting>
  <conditionalFormatting sqref="B3:D3 G4:L4 G6:H34 I6:I33 J6:K34 L6:L33">
    <cfRule type="cellIs" dxfId="18" priority="19" stopIfTrue="1" operator="equal">
      <formula>"Not Tested"</formula>
    </cfRule>
  </conditionalFormatting>
  <conditionalFormatting sqref="G6:H34 I6:I33 J6:K34 L6:L33">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129</v>
      </c>
      <c r="B1" s="2" t="s">
        <v>108</v>
      </c>
      <c r="C1" s="2" t="s">
        <v>109</v>
      </c>
      <c r="D1" s="2" t="s">
        <v>110</v>
      </c>
      <c r="E1" s="3"/>
      <c r="F1" s="4" t="s">
        <v>0</v>
      </c>
      <c r="G1" s="5" t="s">
        <v>129</v>
      </c>
      <c r="H1" s="6"/>
      <c r="I1" s="7"/>
      <c r="J1" s="5" t="s">
        <v>130</v>
      </c>
      <c r="K1" s="6"/>
      <c r="L1" s="7"/>
    </row>
    <row r="2">
      <c r="A2" s="9"/>
      <c r="B2" s="10" t="s">
        <v>10</v>
      </c>
      <c r="C2" s="10" t="s">
        <v>10</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10</v>
      </c>
      <c r="I3" s="15" t="s">
        <v>10</v>
      </c>
      <c r="J3" s="15" t="s">
        <v>10</v>
      </c>
      <c r="K3" s="15" t="s">
        <v>10</v>
      </c>
      <c r="L3" s="15" t="s">
        <v>10</v>
      </c>
    </row>
    <row r="4">
      <c r="A4" s="16"/>
      <c r="B4" s="8"/>
      <c r="C4" s="17"/>
      <c r="D4" s="8"/>
      <c r="E4" s="8"/>
      <c r="F4" s="18"/>
      <c r="G4" s="15" t="s">
        <v>13</v>
      </c>
      <c r="H4" s="15" t="s">
        <v>14</v>
      </c>
      <c r="I4" s="15" t="s">
        <v>13</v>
      </c>
      <c r="J4" s="15" t="s">
        <v>13</v>
      </c>
      <c r="K4" s="15" t="s">
        <v>13</v>
      </c>
      <c r="L4" s="15" t="s">
        <v>14</v>
      </c>
    </row>
    <row r="5">
      <c r="A5" s="19" t="s">
        <v>15</v>
      </c>
      <c r="B5" s="20" t="s">
        <v>16</v>
      </c>
      <c r="C5" s="20" t="s">
        <v>17</v>
      </c>
      <c r="D5" s="21" t="s">
        <v>18</v>
      </c>
      <c r="E5" s="21" t="s">
        <v>19</v>
      </c>
      <c r="F5" s="22" t="s">
        <v>20</v>
      </c>
      <c r="G5" s="23"/>
      <c r="H5" s="23"/>
      <c r="I5" s="23"/>
      <c r="J5" s="23"/>
      <c r="K5" s="23"/>
      <c r="L5" s="23"/>
    </row>
    <row r="6">
      <c r="A6" s="56" t="s">
        <v>125</v>
      </c>
      <c r="B6" s="25"/>
      <c r="C6" s="26" t="s">
        <v>21</v>
      </c>
      <c r="D6" s="8"/>
      <c r="E6" s="8"/>
      <c r="F6" s="18"/>
      <c r="G6" s="28"/>
      <c r="H6" s="28"/>
      <c r="I6" s="28"/>
      <c r="J6" s="28"/>
      <c r="K6" s="28"/>
      <c r="L6" s="28" t="s">
        <v>24</v>
      </c>
    </row>
    <row r="7">
      <c r="A7" s="30"/>
      <c r="B7" s="31" t="s">
        <v>25</v>
      </c>
      <c r="C7" s="32" t="s">
        <v>26</v>
      </c>
      <c r="D7" s="8"/>
      <c r="E7" s="8"/>
      <c r="F7" s="99" t="s">
        <v>27</v>
      </c>
      <c r="G7" s="28"/>
      <c r="H7" s="34"/>
      <c r="I7" s="34"/>
      <c r="J7" s="28"/>
      <c r="K7" s="34"/>
      <c r="L7" s="34" t="s">
        <v>24</v>
      </c>
    </row>
    <row r="8">
      <c r="A8" s="30"/>
      <c r="B8" s="30"/>
      <c r="C8" s="32" t="s">
        <v>28</v>
      </c>
      <c r="D8" s="8"/>
      <c r="E8" s="8"/>
      <c r="F8" s="59" t="s">
        <v>30</v>
      </c>
      <c r="G8" s="28"/>
      <c r="H8" s="37"/>
      <c r="I8" s="37"/>
      <c r="J8" s="28"/>
      <c r="K8" s="37"/>
      <c r="L8" s="37" t="s">
        <v>131</v>
      </c>
    </row>
    <row r="9">
      <c r="A9" s="30"/>
      <c r="B9" s="38"/>
      <c r="C9" s="32" t="s">
        <v>31</v>
      </c>
      <c r="D9" s="8"/>
      <c r="E9" s="8"/>
      <c r="F9" s="18"/>
      <c r="G9" s="28"/>
      <c r="H9" s="39"/>
      <c r="I9" s="40"/>
      <c r="J9" s="28"/>
      <c r="K9" s="39"/>
      <c r="L9" s="40" t="s">
        <v>24</v>
      </c>
    </row>
    <row r="10">
      <c r="A10" s="30"/>
      <c r="B10" s="31" t="s">
        <v>32</v>
      </c>
      <c r="C10" s="32" t="s">
        <v>33</v>
      </c>
      <c r="D10" s="8"/>
      <c r="E10" s="8"/>
      <c r="F10" s="59" t="s">
        <v>34</v>
      </c>
      <c r="G10" s="28"/>
      <c r="H10" s="41"/>
      <c r="I10" s="40"/>
      <c r="J10" s="28"/>
      <c r="K10" s="41"/>
      <c r="L10" s="40" t="s">
        <v>132</v>
      </c>
    </row>
    <row r="11">
      <c r="A11" s="30"/>
      <c r="B11" s="30"/>
      <c r="C11" s="42" t="s">
        <v>35</v>
      </c>
      <c r="D11" s="8"/>
      <c r="E11" s="8"/>
      <c r="F11" s="99" t="s">
        <v>114</v>
      </c>
      <c r="G11" s="28"/>
      <c r="H11" s="43"/>
      <c r="I11" s="40"/>
      <c r="J11" s="28"/>
      <c r="K11" s="43"/>
      <c r="L11" s="40" t="s">
        <v>132</v>
      </c>
    </row>
    <row r="12">
      <c r="A12" s="30"/>
      <c r="B12" s="30"/>
      <c r="C12" s="32" t="s">
        <v>133</v>
      </c>
      <c r="D12" s="8"/>
      <c r="E12" s="8"/>
      <c r="F12" s="44"/>
      <c r="G12" s="28"/>
      <c r="H12" s="43"/>
      <c r="I12" s="43"/>
      <c r="J12" s="28"/>
      <c r="K12" s="43"/>
      <c r="L12" s="43" t="s">
        <v>134</v>
      </c>
    </row>
    <row r="13">
      <c r="A13" s="30"/>
      <c r="B13" s="30"/>
      <c r="C13" s="32" t="s">
        <v>38</v>
      </c>
      <c r="D13" s="8"/>
      <c r="E13" s="8"/>
      <c r="F13" s="44"/>
      <c r="G13" s="28"/>
      <c r="H13" s="43"/>
      <c r="I13" s="43"/>
      <c r="J13" s="28"/>
      <c r="K13" s="43"/>
      <c r="L13" s="43" t="s">
        <v>24</v>
      </c>
    </row>
    <row r="14">
      <c r="A14" s="30"/>
      <c r="B14" s="38"/>
      <c r="C14" s="32" t="s">
        <v>39</v>
      </c>
      <c r="D14" s="8"/>
      <c r="E14" s="8"/>
      <c r="F14" s="45" t="s">
        <v>40</v>
      </c>
      <c r="G14" s="28"/>
      <c r="H14" s="39"/>
      <c r="I14" s="40"/>
      <c r="J14" s="28"/>
      <c r="K14" s="39"/>
      <c r="L14" s="40" t="s">
        <v>24</v>
      </c>
    </row>
    <row r="15">
      <c r="A15" s="30"/>
      <c r="B15" s="42" t="s">
        <v>41</v>
      </c>
      <c r="C15" s="32" t="s">
        <v>42</v>
      </c>
      <c r="D15" s="8"/>
      <c r="E15" s="8"/>
      <c r="F15" s="18"/>
      <c r="G15" s="28"/>
      <c r="H15" s="46"/>
      <c r="I15" s="47"/>
      <c r="J15" s="28"/>
      <c r="K15" s="46"/>
      <c r="L15" s="47" t="s">
        <v>135</v>
      </c>
    </row>
    <row r="16">
      <c r="A16" s="30"/>
      <c r="B16" s="32"/>
      <c r="C16" s="32" t="s">
        <v>136</v>
      </c>
      <c r="D16" s="8"/>
      <c r="E16" s="8"/>
      <c r="F16" s="49"/>
      <c r="G16" s="28"/>
      <c r="H16" s="39"/>
      <c r="I16" s="43"/>
      <c r="J16" s="28"/>
      <c r="K16" s="39"/>
      <c r="L16" s="43" t="s">
        <v>24</v>
      </c>
    </row>
    <row r="17">
      <c r="A17" s="30"/>
      <c r="B17" s="32" t="s">
        <v>45</v>
      </c>
      <c r="C17" s="32" t="s">
        <v>46</v>
      </c>
      <c r="D17" s="8"/>
      <c r="E17" s="8"/>
      <c r="F17" s="49" t="s">
        <v>48</v>
      </c>
      <c r="G17" s="28"/>
      <c r="H17" s="39"/>
      <c r="I17" s="43"/>
      <c r="J17" s="28"/>
      <c r="K17" s="39"/>
      <c r="L17" s="43" t="s">
        <v>24</v>
      </c>
    </row>
    <row r="18">
      <c r="A18" s="30"/>
      <c r="B18" s="51" t="s">
        <v>49</v>
      </c>
      <c r="C18" s="32" t="s">
        <v>50</v>
      </c>
      <c r="D18" s="8"/>
      <c r="E18" s="8"/>
      <c r="F18" s="18"/>
      <c r="G18" s="28"/>
      <c r="H18" s="39"/>
      <c r="I18" s="40"/>
      <c r="J18" s="28"/>
      <c r="K18" s="39"/>
      <c r="L18" s="40" t="s">
        <v>24</v>
      </c>
    </row>
    <row r="19">
      <c r="A19" s="30"/>
      <c r="B19" s="30"/>
      <c r="C19" s="32" t="s">
        <v>51</v>
      </c>
      <c r="D19" s="8"/>
      <c r="E19" s="8"/>
      <c r="F19" s="49" t="s">
        <v>52</v>
      </c>
      <c r="G19" s="28"/>
      <c r="H19" s="39"/>
      <c r="I19" s="52"/>
      <c r="J19" s="28"/>
      <c r="K19" s="39"/>
      <c r="L19" s="52" t="s">
        <v>137</v>
      </c>
    </row>
    <row r="20">
      <c r="A20" s="30"/>
      <c r="B20" s="30"/>
      <c r="C20" s="32" t="s">
        <v>53</v>
      </c>
      <c r="D20" s="8"/>
      <c r="E20" s="8"/>
      <c r="F20" s="18"/>
      <c r="G20" s="28"/>
      <c r="H20" s="39"/>
      <c r="I20" s="52"/>
      <c r="J20" s="28"/>
      <c r="K20" s="39"/>
      <c r="L20" s="52" t="s">
        <v>24</v>
      </c>
    </row>
    <row r="21">
      <c r="A21" s="30"/>
      <c r="B21" s="38"/>
      <c r="C21" s="32" t="s">
        <v>54</v>
      </c>
      <c r="D21" s="8"/>
      <c r="E21" s="8"/>
      <c r="F21" s="18"/>
      <c r="G21" s="28"/>
      <c r="H21" s="28"/>
      <c r="I21" s="53"/>
      <c r="J21" s="28"/>
      <c r="K21" s="28"/>
      <c r="L21" s="53" t="s">
        <v>138</v>
      </c>
    </row>
    <row r="22">
      <c r="A22" s="30"/>
      <c r="B22" s="51" t="s">
        <v>55</v>
      </c>
      <c r="C22" s="32" t="s">
        <v>139</v>
      </c>
      <c r="D22" s="8"/>
      <c r="E22" s="8"/>
      <c r="F22" s="18"/>
      <c r="G22" s="28"/>
      <c r="H22" s="28"/>
      <c r="I22" s="28"/>
      <c r="J22" s="28"/>
      <c r="K22" s="28"/>
      <c r="L22" s="28" t="s">
        <v>24</v>
      </c>
    </row>
    <row r="23">
      <c r="A23" s="30"/>
      <c r="B23" s="30"/>
      <c r="C23" s="32" t="s">
        <v>140</v>
      </c>
      <c r="D23" s="8"/>
      <c r="E23" s="8"/>
      <c r="F23" s="18"/>
      <c r="G23" s="28"/>
      <c r="H23" s="28"/>
      <c r="I23" s="28"/>
      <c r="J23" s="28"/>
      <c r="K23" s="28"/>
      <c r="L23" s="28" t="s">
        <v>24</v>
      </c>
    </row>
    <row r="24">
      <c r="A24" s="30"/>
      <c r="B24" s="38"/>
      <c r="C24" s="54" t="s">
        <v>141</v>
      </c>
      <c r="D24" s="8"/>
      <c r="E24" s="8"/>
      <c r="F24" s="18"/>
      <c r="G24" s="28"/>
      <c r="H24" s="28"/>
      <c r="I24" s="40"/>
      <c r="J24" s="28"/>
      <c r="K24" s="28"/>
      <c r="L24" s="40" t="s">
        <v>74</v>
      </c>
    </row>
    <row r="25">
      <c r="A25" s="30"/>
      <c r="B25" s="32" t="s">
        <v>60</v>
      </c>
      <c r="C25" s="32" t="s">
        <v>61</v>
      </c>
      <c r="D25" s="8"/>
      <c r="E25" s="8"/>
      <c r="F25" s="18"/>
      <c r="G25" s="28"/>
      <c r="H25" s="40"/>
      <c r="I25" s="28"/>
      <c r="J25" s="28"/>
      <c r="K25" s="40"/>
      <c r="L25" s="28" t="s">
        <v>24</v>
      </c>
    </row>
    <row r="26">
      <c r="A26" s="30"/>
      <c r="B26" s="25"/>
      <c r="C26" s="32" t="s">
        <v>142</v>
      </c>
      <c r="D26" s="8"/>
      <c r="E26" s="8"/>
      <c r="F26" s="18"/>
      <c r="G26" s="28"/>
      <c r="H26" s="40"/>
      <c r="I26" s="28"/>
      <c r="J26" s="28"/>
      <c r="K26" s="40"/>
      <c r="L26" s="28" t="s">
        <v>24</v>
      </c>
    </row>
    <row r="27">
      <c r="A27" s="38"/>
      <c r="B27" s="32" t="s">
        <v>63</v>
      </c>
      <c r="C27" s="32" t="s">
        <v>64</v>
      </c>
      <c r="D27" s="8"/>
      <c r="E27" s="8"/>
      <c r="F27" s="49" t="s">
        <v>65</v>
      </c>
      <c r="G27" s="28"/>
      <c r="H27" s="28"/>
      <c r="I27" s="40"/>
      <c r="J27" s="28"/>
      <c r="K27" s="28"/>
      <c r="L27" s="40" t="s">
        <v>24</v>
      </c>
    </row>
    <row r="28">
      <c r="A28" s="56" t="s">
        <v>72</v>
      </c>
      <c r="B28" s="25"/>
      <c r="C28" s="55" t="s">
        <v>73</v>
      </c>
      <c r="D28" s="8"/>
      <c r="E28" s="8"/>
      <c r="F28" s="59" t="s">
        <v>75</v>
      </c>
      <c r="G28" s="28"/>
      <c r="H28" s="28"/>
      <c r="I28" s="28"/>
      <c r="J28" s="28"/>
      <c r="K28" s="28"/>
      <c r="L28" s="28" t="s">
        <v>24</v>
      </c>
    </row>
    <row r="29">
      <c r="A29" s="30"/>
      <c r="B29" s="25"/>
      <c r="C29" s="55" t="s">
        <v>76</v>
      </c>
      <c r="D29" s="8"/>
      <c r="E29" s="8"/>
      <c r="F29" s="59"/>
      <c r="G29" s="28"/>
      <c r="H29" s="28"/>
      <c r="I29" s="28"/>
      <c r="J29" s="28"/>
      <c r="K29" s="28"/>
      <c r="L29" s="28" t="s">
        <v>24</v>
      </c>
    </row>
    <row r="30">
      <c r="A30" s="30"/>
      <c r="B30" s="25"/>
      <c r="C30" s="32" t="s">
        <v>77</v>
      </c>
      <c r="D30" s="8"/>
      <c r="E30" s="8"/>
      <c r="F30" s="18"/>
      <c r="G30" s="28"/>
      <c r="H30" s="28"/>
      <c r="I30" s="28"/>
      <c r="J30" s="28"/>
      <c r="K30" s="28"/>
      <c r="L30" s="28" t="s">
        <v>74</v>
      </c>
    </row>
    <row r="31">
      <c r="A31" s="30"/>
      <c r="B31" s="25"/>
      <c r="C31" s="60" t="s">
        <v>78</v>
      </c>
      <c r="D31" s="8"/>
      <c r="E31" s="8"/>
      <c r="F31" s="8"/>
      <c r="G31" s="61"/>
      <c r="H31" s="61"/>
      <c r="I31" s="61"/>
      <c r="J31" s="61"/>
      <c r="K31" s="61"/>
      <c r="L31" s="61" t="s">
        <v>24</v>
      </c>
    </row>
    <row r="32">
      <c r="A32" s="38"/>
      <c r="B32" s="25"/>
      <c r="C32" s="32" t="s">
        <v>79</v>
      </c>
      <c r="D32" s="8"/>
      <c r="E32" s="8"/>
      <c r="F32" s="8"/>
      <c r="G32" s="61"/>
      <c r="H32" s="61"/>
      <c r="I32" s="61"/>
      <c r="J32" s="61"/>
      <c r="K32" s="61"/>
      <c r="L32" s="61" t="s">
        <v>24</v>
      </c>
    </row>
    <row r="33">
      <c r="A33" s="62"/>
      <c r="B33" s="25">
        <v>33.0</v>
      </c>
      <c r="C33" s="25" t="s">
        <v>143</v>
      </c>
      <c r="D33" s="25"/>
      <c r="E33" s="25"/>
      <c r="F33" s="54" t="s">
        <v>80</v>
      </c>
      <c r="G33" s="64"/>
      <c r="H33" s="64"/>
      <c r="I33" s="65"/>
      <c r="J33" s="64"/>
      <c r="K33" s="64"/>
      <c r="L33" s="8">
        <v>100.0</v>
      </c>
    </row>
    <row r="34">
      <c r="A34" s="66"/>
      <c r="B34" s="8"/>
      <c r="C34" s="17"/>
      <c r="D34" s="8"/>
      <c r="E34" s="8"/>
      <c r="F34" s="8"/>
      <c r="G34" s="8"/>
      <c r="H34" s="8"/>
      <c r="I34" s="8"/>
      <c r="J34" s="8"/>
      <c r="K34" s="8"/>
      <c r="L34" s="8"/>
    </row>
    <row r="35">
      <c r="A35" s="66"/>
      <c r="B35" s="8"/>
      <c r="C35" s="17"/>
      <c r="D35" s="8"/>
      <c r="E35" s="8"/>
      <c r="F35" s="8"/>
      <c r="G35" s="8"/>
      <c r="H35" s="8"/>
      <c r="I35" s="8"/>
      <c r="J35" s="8"/>
      <c r="K35" s="8"/>
      <c r="L35" s="8"/>
    </row>
    <row r="36">
      <c r="A36" s="66"/>
      <c r="B36" s="8"/>
      <c r="C36" s="17"/>
      <c r="D36" s="8"/>
      <c r="E36" s="8"/>
      <c r="F36" s="8"/>
      <c r="G36" s="8"/>
      <c r="H36" s="8"/>
      <c r="I36" s="8"/>
      <c r="J36" s="8"/>
      <c r="K36" s="8"/>
      <c r="L36" s="8"/>
    </row>
    <row r="37">
      <c r="A37" s="66"/>
      <c r="B37" s="8"/>
      <c r="C37" s="17"/>
      <c r="D37" s="8"/>
      <c r="E37" s="8"/>
      <c r="F37" s="8"/>
      <c r="G37" s="8"/>
      <c r="H37" s="8"/>
      <c r="I37" s="8"/>
      <c r="J37" s="8"/>
      <c r="K37" s="8"/>
      <c r="L37" s="8"/>
    </row>
    <row r="38">
      <c r="A38" s="67" t="s">
        <v>144</v>
      </c>
      <c r="B38" s="68"/>
      <c r="C38" s="68"/>
      <c r="D38" s="69"/>
      <c r="E38" s="8"/>
      <c r="F38" s="8"/>
      <c r="G38" s="8"/>
      <c r="H38" s="8"/>
      <c r="I38" s="8"/>
      <c r="J38" s="8"/>
      <c r="K38" s="8"/>
      <c r="L38" s="8"/>
    </row>
    <row r="39">
      <c r="A39" s="62"/>
      <c r="B39" s="70" t="s">
        <v>5</v>
      </c>
      <c r="C39" s="70" t="s">
        <v>81</v>
      </c>
      <c r="D39" s="70" t="s">
        <v>7</v>
      </c>
      <c r="E39" s="8"/>
      <c r="F39" s="8"/>
      <c r="G39" s="8"/>
      <c r="H39" s="8"/>
      <c r="I39" s="8"/>
      <c r="J39" s="8"/>
      <c r="K39" s="8"/>
      <c r="L39" s="8"/>
    </row>
    <row r="40">
      <c r="A40" s="71" t="s">
        <v>82</v>
      </c>
      <c r="B40" s="25">
        <v>0.0</v>
      </c>
      <c r="C40" s="25">
        <v>0.0</v>
      </c>
      <c r="D40" s="25">
        <v>0.0</v>
      </c>
      <c r="E40" s="8"/>
      <c r="F40" s="8"/>
      <c r="G40" s="8"/>
      <c r="H40" s="8"/>
      <c r="I40" s="8"/>
      <c r="J40" s="8"/>
      <c r="K40" s="8"/>
      <c r="L40" s="8"/>
    </row>
    <row r="41">
      <c r="A41" s="71" t="s">
        <v>83</v>
      </c>
      <c r="B41" s="25">
        <v>0.0</v>
      </c>
      <c r="C41" s="25">
        <v>0.0</v>
      </c>
      <c r="D41" s="25">
        <v>0.0</v>
      </c>
      <c r="E41" s="8"/>
      <c r="F41" s="8"/>
      <c r="G41" s="8"/>
      <c r="H41" s="8"/>
      <c r="I41" s="8"/>
      <c r="J41" s="8"/>
      <c r="K41" s="8"/>
      <c r="L41" s="8"/>
    </row>
    <row r="42">
      <c r="A42" s="71" t="s">
        <v>84</v>
      </c>
      <c r="B42" s="25">
        <v>0.0</v>
      </c>
      <c r="C42" s="25">
        <v>0.0</v>
      </c>
      <c r="D42" s="25">
        <v>0.0</v>
      </c>
      <c r="E42" s="8"/>
      <c r="F42" s="8"/>
      <c r="G42" s="8"/>
      <c r="H42" s="8"/>
      <c r="I42" s="8"/>
      <c r="J42" s="8"/>
      <c r="K42" s="8"/>
      <c r="L42" s="8"/>
    </row>
    <row r="43">
      <c r="A43" s="71" t="s">
        <v>85</v>
      </c>
      <c r="B43" s="25">
        <v>0.0</v>
      </c>
      <c r="C43" s="25">
        <v>25.0</v>
      </c>
      <c r="D43" s="25">
        <v>0.0</v>
      </c>
      <c r="E43" s="8"/>
      <c r="F43" s="8"/>
      <c r="G43" s="8"/>
      <c r="H43" s="8"/>
      <c r="I43" s="8"/>
      <c r="J43" s="8"/>
      <c r="K43" s="8"/>
      <c r="L43" s="8"/>
    </row>
    <row r="44">
      <c r="A44" s="66"/>
      <c r="B44" s="8"/>
      <c r="C44" s="17"/>
      <c r="D44" s="8"/>
      <c r="E44" s="8"/>
      <c r="F44" s="8"/>
      <c r="G44" s="8"/>
      <c r="H44" s="8"/>
      <c r="I44" s="8"/>
      <c r="J44" s="8"/>
      <c r="K44" s="8"/>
      <c r="L44" s="8"/>
    </row>
    <row r="45">
      <c r="A45" s="66"/>
      <c r="B45" s="8"/>
      <c r="C45" s="17"/>
      <c r="D45" s="8"/>
      <c r="E45" s="8"/>
      <c r="F45" s="8"/>
      <c r="G45" s="8"/>
      <c r="H45" s="8"/>
      <c r="I45" s="8"/>
      <c r="J45" s="8"/>
      <c r="K45" s="8"/>
      <c r="L45" s="8"/>
    </row>
    <row r="46">
      <c r="A46" s="72" t="s">
        <v>86</v>
      </c>
      <c r="B46" s="68"/>
      <c r="C46" s="68"/>
      <c r="D46" s="68"/>
      <c r="E46" s="69"/>
      <c r="F46" s="8"/>
      <c r="G46" s="8"/>
      <c r="H46" s="8"/>
      <c r="I46" s="8"/>
      <c r="J46" s="8"/>
      <c r="K46" s="8"/>
      <c r="L46" s="8"/>
    </row>
    <row r="47">
      <c r="A47" s="71" t="s">
        <v>8</v>
      </c>
      <c r="B47" s="25"/>
      <c r="C47" s="73"/>
      <c r="D47" s="25"/>
      <c r="E47" s="70" t="s">
        <v>87</v>
      </c>
      <c r="F47" s="8"/>
      <c r="G47" s="8"/>
      <c r="H47" s="8"/>
      <c r="I47" s="8"/>
      <c r="J47" s="8"/>
      <c r="K47" s="8"/>
      <c r="L47" s="8"/>
    </row>
    <row r="48">
      <c r="A48" s="74" t="s">
        <v>88</v>
      </c>
      <c r="B48" s="25"/>
      <c r="C48" s="73"/>
      <c r="D48" s="25"/>
      <c r="E48" s="75" t="s">
        <v>24</v>
      </c>
      <c r="F48" s="8"/>
      <c r="G48" s="8"/>
      <c r="H48" s="8"/>
      <c r="I48" s="8"/>
      <c r="J48" s="8"/>
      <c r="K48" s="8"/>
      <c r="L48" s="8"/>
    </row>
    <row r="49">
      <c r="A49" s="76" t="s">
        <v>89</v>
      </c>
      <c r="B49" s="25"/>
      <c r="C49" s="73"/>
      <c r="D49" s="25"/>
      <c r="E49" s="77" t="s">
        <v>13</v>
      </c>
      <c r="F49" s="8"/>
      <c r="G49" s="8"/>
      <c r="H49" s="8"/>
      <c r="I49" s="8"/>
      <c r="J49" s="8"/>
      <c r="K49" s="8"/>
      <c r="L49" s="8"/>
    </row>
    <row r="50">
      <c r="A50" s="78" t="s">
        <v>90</v>
      </c>
      <c r="B50" s="25"/>
      <c r="C50" s="73"/>
      <c r="D50" s="25"/>
      <c r="E50" s="79" t="s">
        <v>91</v>
      </c>
      <c r="F50" s="8"/>
      <c r="G50" s="8"/>
      <c r="H50" s="8"/>
      <c r="I50" s="8"/>
      <c r="J50" s="8"/>
      <c r="K50" s="8"/>
      <c r="L50" s="8"/>
    </row>
    <row r="51">
      <c r="A51" s="80" t="s">
        <v>92</v>
      </c>
      <c r="B51" s="25"/>
      <c r="C51" s="73"/>
      <c r="D51" s="25"/>
      <c r="E51" s="81" t="s">
        <v>10</v>
      </c>
      <c r="F51" s="8"/>
      <c r="G51" s="8"/>
      <c r="H51" s="8"/>
      <c r="I51" s="8"/>
      <c r="J51" s="8"/>
      <c r="K51" s="8"/>
      <c r="L51" s="8"/>
    </row>
    <row r="52">
      <c r="A52" s="82" t="s">
        <v>93</v>
      </c>
      <c r="B52" s="25"/>
      <c r="C52" s="73"/>
      <c r="D52" s="25"/>
      <c r="E52" s="83" t="s">
        <v>94</v>
      </c>
      <c r="F52" s="8"/>
      <c r="G52" s="8"/>
      <c r="H52" s="8"/>
      <c r="I52" s="8"/>
      <c r="J52" s="8"/>
      <c r="K52" s="8"/>
      <c r="L52" s="8"/>
    </row>
    <row r="53">
      <c r="A53" s="84" t="s">
        <v>95</v>
      </c>
      <c r="B53" s="25"/>
      <c r="C53" s="73"/>
      <c r="D53" s="25"/>
      <c r="E53" s="85" t="s">
        <v>11</v>
      </c>
      <c r="F53" s="8"/>
      <c r="G53" s="8"/>
      <c r="H53" s="8"/>
      <c r="I53" s="8"/>
      <c r="J53" s="8"/>
      <c r="K53" s="8"/>
      <c r="L53" s="8"/>
    </row>
    <row r="54">
      <c r="A54" s="86" t="s">
        <v>96</v>
      </c>
      <c r="B54" s="25"/>
      <c r="C54" s="73"/>
      <c r="D54" s="25"/>
      <c r="E54" s="87" t="s">
        <v>97</v>
      </c>
      <c r="F54" s="8"/>
      <c r="G54" s="8"/>
      <c r="H54" s="8"/>
      <c r="I54" s="8"/>
      <c r="J54" s="8"/>
      <c r="K54" s="8"/>
      <c r="L54" s="8"/>
    </row>
    <row r="55">
      <c r="A55" s="88" t="s">
        <v>98</v>
      </c>
      <c r="B55" s="25"/>
      <c r="C55" s="73"/>
      <c r="D55" s="25"/>
      <c r="E55" s="89" t="s">
        <v>12</v>
      </c>
      <c r="F55" s="8"/>
      <c r="G55" s="8"/>
      <c r="H55" s="8"/>
      <c r="I55" s="8"/>
      <c r="J55" s="8"/>
      <c r="K55" s="8"/>
      <c r="L55" s="8"/>
    </row>
    <row r="56">
      <c r="A56" s="90" t="s">
        <v>99</v>
      </c>
      <c r="B56" s="25"/>
      <c r="C56" s="73"/>
      <c r="D56" s="25"/>
      <c r="E56" s="91" t="s">
        <v>100</v>
      </c>
      <c r="F56" s="8"/>
      <c r="G56" s="8"/>
      <c r="H56" s="8"/>
      <c r="I56" s="8"/>
      <c r="J56" s="8"/>
      <c r="K56" s="8"/>
      <c r="L56" s="8"/>
    </row>
    <row r="57">
      <c r="A57" s="92" t="s">
        <v>101</v>
      </c>
      <c r="B57" s="25"/>
      <c r="C57" s="73"/>
      <c r="D57" s="25"/>
      <c r="E57" s="25"/>
      <c r="F57" s="8"/>
      <c r="G57" s="8"/>
      <c r="H57" s="8"/>
      <c r="I57" s="8"/>
      <c r="J57" s="8"/>
      <c r="K57" s="8"/>
      <c r="L57" s="8"/>
    </row>
    <row r="58">
      <c r="A58" s="93" t="s">
        <v>102</v>
      </c>
      <c r="B58" s="25"/>
      <c r="C58" s="73"/>
      <c r="D58" s="25"/>
      <c r="E58" s="25"/>
      <c r="F58" s="8"/>
      <c r="G58" s="8"/>
      <c r="H58" s="8"/>
      <c r="I58" s="8"/>
      <c r="J58" s="8"/>
      <c r="K58" s="8"/>
      <c r="L58" s="8"/>
    </row>
    <row r="59">
      <c r="A59" s="94" t="s">
        <v>103</v>
      </c>
      <c r="B59" s="25"/>
      <c r="C59" s="73"/>
      <c r="D59" s="25"/>
      <c r="E59" s="25"/>
      <c r="F59" s="8"/>
      <c r="G59" s="8"/>
      <c r="H59" s="8"/>
      <c r="I59" s="8"/>
      <c r="J59" s="8"/>
      <c r="K59" s="8"/>
      <c r="L59" s="8"/>
    </row>
    <row r="60">
      <c r="A60" s="95" t="s">
        <v>104</v>
      </c>
      <c r="B60" s="25"/>
      <c r="C60" s="73"/>
      <c r="D60" s="25"/>
      <c r="E60" s="25"/>
      <c r="F60" s="8"/>
      <c r="G60" s="8"/>
      <c r="H60" s="8"/>
      <c r="I60" s="8"/>
      <c r="J60" s="8"/>
      <c r="K60" s="8"/>
      <c r="L60" s="8"/>
    </row>
    <row r="61">
      <c r="A61" s="96" t="s">
        <v>105</v>
      </c>
      <c r="B61" s="25"/>
      <c r="C61" s="73"/>
      <c r="D61" s="25"/>
      <c r="E61" s="25"/>
      <c r="F61" s="8"/>
      <c r="G61" s="8"/>
      <c r="H61" s="8"/>
      <c r="I61" s="8"/>
      <c r="J61" s="8"/>
      <c r="K61" s="8"/>
      <c r="L61" s="8"/>
    </row>
    <row r="62">
      <c r="A62" s="97" t="s">
        <v>106</v>
      </c>
      <c r="B62" s="25"/>
      <c r="C62" s="73"/>
      <c r="D62" s="25"/>
      <c r="E62" s="25"/>
      <c r="F62" s="8"/>
      <c r="G62" s="8"/>
      <c r="H62" s="8"/>
      <c r="I62" s="8"/>
      <c r="J62" s="8"/>
      <c r="K62" s="8"/>
      <c r="L62" s="8"/>
    </row>
    <row r="63">
      <c r="A63" s="66"/>
      <c r="B63" s="8"/>
      <c r="C63" s="17"/>
      <c r="D63" s="8"/>
      <c r="E63" s="8"/>
      <c r="F63" s="8"/>
      <c r="G63" s="8"/>
      <c r="H63" s="8"/>
      <c r="I63" s="8"/>
      <c r="J63" s="8"/>
      <c r="K63" s="8"/>
      <c r="L63" s="8"/>
    </row>
    <row r="64">
      <c r="A64" s="66"/>
      <c r="B64" s="8"/>
      <c r="C64" s="17"/>
      <c r="D64" s="8"/>
      <c r="E64" s="8"/>
      <c r="F64" s="8"/>
      <c r="G64" s="8"/>
      <c r="H64" s="8"/>
      <c r="I64" s="8"/>
      <c r="J64" s="8"/>
      <c r="K64" s="8"/>
      <c r="L64" s="8"/>
    </row>
    <row r="65">
      <c r="A65" s="66"/>
      <c r="B65" s="8"/>
      <c r="C65" s="17"/>
      <c r="D65" s="8"/>
      <c r="E65" s="8"/>
      <c r="F65" s="8"/>
      <c r="G65" s="8"/>
      <c r="H65" s="8"/>
      <c r="I65" s="8"/>
      <c r="J65" s="8"/>
      <c r="K65" s="8"/>
      <c r="L65" s="8"/>
    </row>
    <row r="66">
      <c r="A66" s="66"/>
      <c r="B66" s="8"/>
      <c r="C66" s="17"/>
      <c r="D66" s="8"/>
      <c r="E66" s="8"/>
      <c r="F66" s="8"/>
      <c r="G66" s="8"/>
      <c r="H66" s="8"/>
      <c r="I66" s="8"/>
      <c r="J66" s="8"/>
      <c r="K66" s="8"/>
      <c r="L66" s="8"/>
    </row>
    <row r="67">
      <c r="A67" s="66"/>
      <c r="B67" s="8"/>
      <c r="C67" s="17"/>
      <c r="D67" s="8"/>
      <c r="E67" s="8"/>
      <c r="F67" s="8"/>
      <c r="G67" s="8"/>
      <c r="H67" s="8"/>
      <c r="I67" s="8"/>
      <c r="J67" s="8"/>
      <c r="K67" s="8"/>
      <c r="L67" s="8"/>
    </row>
  </sheetData>
  <mergeCells count="10">
    <mergeCell ref="A28:A32"/>
    <mergeCell ref="A38:D38"/>
    <mergeCell ref="A46:E46"/>
    <mergeCell ref="G1:I1"/>
    <mergeCell ref="J1:L1"/>
    <mergeCell ref="A6:A27"/>
    <mergeCell ref="B7:B9"/>
    <mergeCell ref="B10:B14"/>
    <mergeCell ref="B18:B21"/>
    <mergeCell ref="B22:B24"/>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H33 I6:I32 J6:K33 L6:L32">
    <cfRule type="cellIs" dxfId="16" priority="18" stopIfTrue="1" operator="equal">
      <formula>"OK"</formula>
    </cfRule>
  </conditionalFormatting>
  <conditionalFormatting sqref="B3:D3 G4:L4 G6:H33 I6:I32 J6:K33 L6:L32">
    <cfRule type="cellIs" dxfId="18" priority="19" stopIfTrue="1" operator="equal">
      <formula>"Not Tested"</formula>
    </cfRule>
  </conditionalFormatting>
  <conditionalFormatting sqref="G6:H33 I6:I32 J6:K33 L6:L32">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145</v>
      </c>
      <c r="B1" s="2" t="s">
        <v>108</v>
      </c>
      <c r="C1" s="2" t="s">
        <v>109</v>
      </c>
      <c r="D1" s="2" t="s">
        <v>110</v>
      </c>
      <c r="E1" s="3"/>
      <c r="F1" s="4" t="s">
        <v>0</v>
      </c>
      <c r="G1" s="5" t="s">
        <v>145</v>
      </c>
      <c r="H1" s="6"/>
      <c r="I1" s="7"/>
      <c r="J1" s="5" t="s">
        <v>146</v>
      </c>
      <c r="K1" s="6"/>
      <c r="L1" s="7"/>
    </row>
    <row r="2">
      <c r="A2" s="9"/>
      <c r="B2" s="10" t="s">
        <v>10</v>
      </c>
      <c r="C2" s="10" t="s">
        <v>147</v>
      </c>
      <c r="D2" s="10" t="s">
        <v>10</v>
      </c>
      <c r="E2" s="8"/>
      <c r="F2" s="11" t="s">
        <v>4</v>
      </c>
      <c r="G2" s="12" t="s">
        <v>5</v>
      </c>
      <c r="H2" s="12" t="s">
        <v>6</v>
      </c>
      <c r="I2" s="12" t="s">
        <v>7</v>
      </c>
      <c r="J2" s="12" t="s">
        <v>5</v>
      </c>
      <c r="K2" s="12" t="s">
        <v>6</v>
      </c>
      <c r="L2" s="12" t="s">
        <v>7</v>
      </c>
    </row>
    <row r="3">
      <c r="A3" s="13" t="s">
        <v>8</v>
      </c>
      <c r="B3" s="10" t="s">
        <v>13</v>
      </c>
      <c r="C3" s="10" t="s">
        <v>14</v>
      </c>
      <c r="D3" s="10" t="s">
        <v>13</v>
      </c>
      <c r="E3" s="8"/>
      <c r="F3" s="14" t="s">
        <v>9</v>
      </c>
      <c r="G3" s="15" t="s">
        <v>10</v>
      </c>
      <c r="H3" s="15" t="s">
        <v>12</v>
      </c>
      <c r="I3" s="15" t="s">
        <v>10</v>
      </c>
      <c r="J3" s="15" t="s">
        <v>10</v>
      </c>
      <c r="K3" s="15" t="s">
        <v>10</v>
      </c>
      <c r="L3" s="15" t="s">
        <v>12</v>
      </c>
    </row>
    <row r="4">
      <c r="A4" s="16"/>
      <c r="B4" s="8"/>
      <c r="C4" s="17"/>
      <c r="D4" s="8"/>
      <c r="E4" s="8"/>
      <c r="F4" s="18"/>
      <c r="G4" s="15" t="s">
        <v>13</v>
      </c>
      <c r="H4" s="15" t="s">
        <v>14</v>
      </c>
      <c r="I4" s="15" t="s">
        <v>13</v>
      </c>
      <c r="J4" s="15" t="s">
        <v>13</v>
      </c>
      <c r="K4" s="15" t="s">
        <v>13</v>
      </c>
      <c r="L4" s="15" t="s">
        <v>14</v>
      </c>
    </row>
    <row r="5">
      <c r="A5" s="19" t="s">
        <v>15</v>
      </c>
      <c r="B5" s="20" t="s">
        <v>16</v>
      </c>
      <c r="C5" s="20" t="s">
        <v>17</v>
      </c>
      <c r="D5" s="21" t="s">
        <v>18</v>
      </c>
      <c r="E5" s="21" t="s">
        <v>19</v>
      </c>
      <c r="F5" s="22" t="s">
        <v>20</v>
      </c>
      <c r="G5" s="23"/>
      <c r="H5" s="23"/>
      <c r="I5" s="23"/>
      <c r="J5" s="23"/>
      <c r="K5" s="23"/>
      <c r="L5" s="23"/>
    </row>
    <row r="6">
      <c r="A6" s="56" t="s">
        <v>125</v>
      </c>
      <c r="B6" s="25"/>
      <c r="C6" s="26" t="s">
        <v>21</v>
      </c>
      <c r="D6" s="8"/>
      <c r="E6" s="8"/>
      <c r="F6" s="18"/>
      <c r="G6" s="28"/>
      <c r="H6" s="28" t="s">
        <v>24</v>
      </c>
      <c r="I6" s="28"/>
      <c r="J6" s="28"/>
      <c r="K6" s="28"/>
      <c r="L6" s="28" t="s">
        <v>148</v>
      </c>
    </row>
    <row r="7">
      <c r="A7" s="30"/>
      <c r="B7" s="31" t="s">
        <v>25</v>
      </c>
      <c r="C7" s="32" t="s">
        <v>26</v>
      </c>
      <c r="D7" s="8"/>
      <c r="E7" s="8"/>
      <c r="F7" s="99" t="s">
        <v>27</v>
      </c>
      <c r="G7" s="28"/>
      <c r="H7" s="34" t="s">
        <v>24</v>
      </c>
      <c r="I7" s="34"/>
      <c r="J7" s="28"/>
      <c r="K7" s="34"/>
      <c r="L7" s="34" t="s">
        <v>24</v>
      </c>
    </row>
    <row r="8">
      <c r="A8" s="30"/>
      <c r="B8" s="30"/>
      <c r="C8" s="32" t="s">
        <v>28</v>
      </c>
      <c r="D8" s="8"/>
      <c r="E8" s="8"/>
      <c r="F8" s="59" t="s">
        <v>30</v>
      </c>
      <c r="G8" s="28"/>
      <c r="H8" s="37" t="s">
        <v>149</v>
      </c>
      <c r="I8" s="37"/>
      <c r="J8" s="28"/>
      <c r="K8" s="37"/>
      <c r="L8" s="37" t="s">
        <v>149</v>
      </c>
    </row>
    <row r="9">
      <c r="A9" s="30"/>
      <c r="B9" s="38"/>
      <c r="C9" s="32" t="s">
        <v>31</v>
      </c>
      <c r="D9" s="8"/>
      <c r="E9" s="8"/>
      <c r="F9" s="18"/>
      <c r="G9" s="28"/>
      <c r="H9" s="39" t="s">
        <v>24</v>
      </c>
      <c r="I9" s="47"/>
      <c r="J9" s="28"/>
      <c r="K9" s="39"/>
      <c r="L9" s="40" t="s">
        <v>24</v>
      </c>
    </row>
    <row r="10">
      <c r="A10" s="30"/>
      <c r="B10" s="31" t="s">
        <v>32</v>
      </c>
      <c r="C10" s="32" t="s">
        <v>33</v>
      </c>
      <c r="D10" s="8"/>
      <c r="E10" s="8"/>
      <c r="F10" s="59" t="s">
        <v>34</v>
      </c>
      <c r="G10" s="28"/>
      <c r="H10" s="41" t="s">
        <v>24</v>
      </c>
      <c r="I10" s="47"/>
      <c r="J10" s="28"/>
      <c r="K10" s="41"/>
      <c r="L10" s="40" t="s">
        <v>24</v>
      </c>
    </row>
    <row r="11">
      <c r="A11" s="30"/>
      <c r="B11" s="30"/>
      <c r="C11" s="42" t="s">
        <v>35</v>
      </c>
      <c r="D11" s="8"/>
      <c r="E11" s="8"/>
      <c r="F11" s="99" t="s">
        <v>114</v>
      </c>
      <c r="G11" s="28"/>
      <c r="H11" s="43" t="s">
        <v>24</v>
      </c>
      <c r="I11" s="47"/>
      <c r="J11" s="28"/>
      <c r="K11" s="43"/>
      <c r="L11" s="40" t="s">
        <v>24</v>
      </c>
    </row>
    <row r="12">
      <c r="A12" s="30"/>
      <c r="B12" s="30"/>
      <c r="C12" s="32" t="s">
        <v>38</v>
      </c>
      <c r="D12" s="8"/>
      <c r="E12" s="8"/>
      <c r="F12" s="44"/>
      <c r="G12" s="28"/>
      <c r="H12" s="43" t="s">
        <v>24</v>
      </c>
      <c r="I12" s="104"/>
      <c r="J12" s="28"/>
      <c r="K12" s="43"/>
      <c r="L12" s="43" t="s">
        <v>24</v>
      </c>
    </row>
    <row r="13">
      <c r="A13" s="30"/>
      <c r="B13" s="38"/>
      <c r="C13" s="32" t="s">
        <v>39</v>
      </c>
      <c r="D13" s="8"/>
      <c r="E13" s="8"/>
      <c r="F13" s="45" t="s">
        <v>40</v>
      </c>
      <c r="G13" s="28"/>
      <c r="H13" s="39" t="s">
        <v>24</v>
      </c>
      <c r="I13" s="47"/>
      <c r="J13" s="28"/>
      <c r="K13" s="39"/>
      <c r="L13" s="40" t="s">
        <v>24</v>
      </c>
    </row>
    <row r="14">
      <c r="A14" s="30"/>
      <c r="B14" s="42" t="s">
        <v>41</v>
      </c>
      <c r="C14" s="32" t="s">
        <v>42</v>
      </c>
      <c r="D14" s="8"/>
      <c r="E14" s="8"/>
      <c r="F14" s="18"/>
      <c r="G14" s="28"/>
      <c r="H14" s="46" t="s">
        <v>150</v>
      </c>
      <c r="I14" s="47"/>
      <c r="J14" s="28"/>
      <c r="K14" s="39"/>
      <c r="L14" s="40" t="s">
        <v>151</v>
      </c>
    </row>
    <row r="15">
      <c r="A15" s="30"/>
      <c r="B15" s="32"/>
      <c r="C15" s="32" t="s">
        <v>136</v>
      </c>
      <c r="D15" s="8"/>
      <c r="E15" s="8"/>
      <c r="F15" s="49"/>
      <c r="G15" s="28"/>
      <c r="H15" s="39" t="s">
        <v>24</v>
      </c>
      <c r="I15" s="104"/>
      <c r="J15" s="28"/>
      <c r="K15" s="39"/>
      <c r="L15" s="43" t="s">
        <v>152</v>
      </c>
    </row>
    <row r="16">
      <c r="A16" s="30"/>
      <c r="B16" s="32" t="s">
        <v>45</v>
      </c>
      <c r="C16" s="32" t="s">
        <v>46</v>
      </c>
      <c r="D16" s="8"/>
      <c r="E16" s="8"/>
      <c r="F16" s="49" t="s">
        <v>48</v>
      </c>
      <c r="G16" s="28"/>
      <c r="H16" s="39" t="s">
        <v>24</v>
      </c>
      <c r="I16" s="104"/>
      <c r="J16" s="28"/>
      <c r="K16" s="39"/>
      <c r="L16" s="43" t="s">
        <v>24</v>
      </c>
    </row>
    <row r="17">
      <c r="A17" s="30"/>
      <c r="B17" s="51" t="s">
        <v>49</v>
      </c>
      <c r="C17" s="32" t="s">
        <v>50</v>
      </c>
      <c r="D17" s="8"/>
      <c r="E17" s="8"/>
      <c r="F17" s="18"/>
      <c r="G17" s="28"/>
      <c r="H17" s="39" t="s">
        <v>24</v>
      </c>
      <c r="I17" s="47"/>
      <c r="J17" s="28"/>
      <c r="K17" s="39"/>
      <c r="L17" s="40" t="s">
        <v>24</v>
      </c>
    </row>
    <row r="18">
      <c r="A18" s="30"/>
      <c r="B18" s="30"/>
      <c r="C18" s="32" t="s">
        <v>51</v>
      </c>
      <c r="D18" s="8"/>
      <c r="E18" s="8"/>
      <c r="F18" s="49" t="s">
        <v>52</v>
      </c>
      <c r="G18" s="28"/>
      <c r="H18" s="39" t="s">
        <v>24</v>
      </c>
      <c r="I18" s="52"/>
      <c r="J18" s="28"/>
      <c r="K18" s="39"/>
      <c r="L18" s="52" t="s">
        <v>24</v>
      </c>
    </row>
    <row r="19">
      <c r="A19" s="30"/>
      <c r="B19" s="30"/>
      <c r="C19" s="32" t="s">
        <v>53</v>
      </c>
      <c r="D19" s="8"/>
      <c r="E19" s="8"/>
      <c r="F19" s="18"/>
      <c r="G19" s="28"/>
      <c r="H19" s="39" t="s">
        <v>24</v>
      </c>
      <c r="I19" s="52"/>
      <c r="J19" s="28"/>
      <c r="K19" s="39"/>
      <c r="L19" s="52" t="s">
        <v>24</v>
      </c>
    </row>
    <row r="20">
      <c r="A20" s="30"/>
      <c r="B20" s="38"/>
      <c r="C20" s="32" t="s">
        <v>54</v>
      </c>
      <c r="D20" s="8"/>
      <c r="E20" s="8"/>
      <c r="F20" s="18"/>
      <c r="G20" s="28"/>
      <c r="H20" s="28" t="s">
        <v>24</v>
      </c>
      <c r="I20" s="53"/>
      <c r="J20" s="28"/>
      <c r="K20" s="28"/>
      <c r="L20" s="53" t="s">
        <v>24</v>
      </c>
    </row>
    <row r="21">
      <c r="A21" s="30"/>
      <c r="B21" s="51" t="s">
        <v>55</v>
      </c>
      <c r="C21" s="32" t="s">
        <v>139</v>
      </c>
      <c r="D21" s="8"/>
      <c r="E21" s="8"/>
      <c r="F21" s="18"/>
      <c r="G21" s="28"/>
      <c r="H21" s="28" t="s">
        <v>24</v>
      </c>
      <c r="I21" s="28"/>
      <c r="J21" s="28"/>
      <c r="K21" s="28"/>
      <c r="L21" s="28" t="s">
        <v>24</v>
      </c>
    </row>
    <row r="22">
      <c r="A22" s="30"/>
      <c r="B22" s="30"/>
      <c r="C22" s="32" t="s">
        <v>140</v>
      </c>
      <c r="D22" s="8"/>
      <c r="E22" s="8"/>
      <c r="F22" s="18"/>
      <c r="G22" s="28"/>
      <c r="H22" s="28" t="s">
        <v>24</v>
      </c>
      <c r="I22" s="28"/>
      <c r="J22" s="28"/>
      <c r="K22" s="28"/>
      <c r="L22" s="28" t="s">
        <v>153</v>
      </c>
    </row>
    <row r="23">
      <c r="A23" s="30"/>
      <c r="B23" s="38"/>
      <c r="C23" s="54" t="s">
        <v>141</v>
      </c>
      <c r="D23" s="8"/>
      <c r="E23" s="8"/>
      <c r="F23" s="18"/>
      <c r="G23" s="28"/>
      <c r="H23" s="28" t="s">
        <v>74</v>
      </c>
      <c r="I23" s="47"/>
      <c r="J23" s="28"/>
      <c r="K23" s="28"/>
      <c r="L23" s="40" t="s">
        <v>74</v>
      </c>
    </row>
    <row r="24">
      <c r="A24" s="30"/>
      <c r="B24" s="32" t="s">
        <v>60</v>
      </c>
      <c r="C24" s="32" t="s">
        <v>61</v>
      </c>
      <c r="D24" s="8"/>
      <c r="E24" s="8"/>
      <c r="F24" s="18"/>
      <c r="G24" s="28"/>
      <c r="H24" s="40" t="s">
        <v>24</v>
      </c>
      <c r="I24" s="63"/>
      <c r="J24" s="28"/>
      <c r="K24" s="40"/>
      <c r="L24" s="28" t="s">
        <v>24</v>
      </c>
    </row>
    <row r="25">
      <c r="A25" s="30"/>
      <c r="B25" s="25"/>
      <c r="C25" s="32" t="s">
        <v>142</v>
      </c>
      <c r="D25" s="8"/>
      <c r="E25" s="8"/>
      <c r="F25" s="18"/>
      <c r="G25" s="28"/>
      <c r="H25" s="40" t="s">
        <v>24</v>
      </c>
      <c r="I25" s="63"/>
      <c r="J25" s="28"/>
      <c r="K25" s="40"/>
      <c r="L25" s="28" t="s">
        <v>24</v>
      </c>
    </row>
    <row r="26">
      <c r="A26" s="38"/>
      <c r="B26" s="32" t="s">
        <v>63</v>
      </c>
      <c r="C26" s="32" t="s">
        <v>64</v>
      </c>
      <c r="D26" s="8"/>
      <c r="E26" s="8"/>
      <c r="F26" s="49" t="s">
        <v>65</v>
      </c>
      <c r="G26" s="28"/>
      <c r="H26" s="28" t="s">
        <v>24</v>
      </c>
      <c r="I26" s="47"/>
      <c r="J26" s="28"/>
      <c r="K26" s="28"/>
      <c r="L26" s="40" t="s">
        <v>24</v>
      </c>
    </row>
    <row r="27">
      <c r="A27" s="56" t="s">
        <v>72</v>
      </c>
      <c r="B27" s="25"/>
      <c r="C27" s="55" t="s">
        <v>73</v>
      </c>
      <c r="D27" s="8"/>
      <c r="E27" s="8"/>
      <c r="F27" s="59" t="s">
        <v>75</v>
      </c>
      <c r="G27" s="28"/>
      <c r="H27" s="28"/>
      <c r="I27" s="63"/>
      <c r="J27" s="28"/>
      <c r="K27" s="28"/>
      <c r="L27" s="63"/>
    </row>
    <row r="28">
      <c r="A28" s="30"/>
      <c r="B28" s="25"/>
      <c r="C28" s="55" t="s">
        <v>76</v>
      </c>
      <c r="D28" s="8"/>
      <c r="E28" s="8"/>
      <c r="F28" s="59"/>
      <c r="G28" s="28"/>
      <c r="H28" s="28"/>
      <c r="I28" s="63"/>
      <c r="J28" s="28"/>
      <c r="K28" s="28"/>
      <c r="L28" s="63"/>
    </row>
    <row r="29">
      <c r="A29" s="30"/>
      <c r="B29" s="25"/>
      <c r="C29" s="32" t="s">
        <v>77</v>
      </c>
      <c r="D29" s="8"/>
      <c r="E29" s="8"/>
      <c r="F29" s="18"/>
      <c r="G29" s="28"/>
      <c r="H29" s="28"/>
      <c r="I29" s="63"/>
      <c r="J29" s="28"/>
      <c r="K29" s="28"/>
      <c r="L29" s="63"/>
    </row>
    <row r="30">
      <c r="A30" s="30"/>
      <c r="B30" s="25"/>
      <c r="C30" s="60" t="s">
        <v>78</v>
      </c>
      <c r="D30" s="8"/>
      <c r="E30" s="8"/>
      <c r="F30" s="8"/>
      <c r="G30" s="61"/>
      <c r="H30" s="61"/>
      <c r="I30" s="105"/>
      <c r="J30" s="61"/>
      <c r="K30" s="61"/>
      <c r="L30" s="105"/>
    </row>
    <row r="31">
      <c r="A31" s="38"/>
      <c r="B31" s="25"/>
      <c r="C31" s="32" t="s">
        <v>79</v>
      </c>
      <c r="D31" s="8"/>
      <c r="E31" s="8"/>
      <c r="F31" s="8"/>
      <c r="G31" s="61"/>
      <c r="H31" s="61"/>
      <c r="I31" s="105"/>
      <c r="J31" s="61"/>
      <c r="K31" s="61"/>
      <c r="L31" s="105"/>
    </row>
    <row r="32">
      <c r="A32" s="62"/>
      <c r="B32" s="25">
        <v>32.0</v>
      </c>
      <c r="C32" s="25" t="s">
        <v>154</v>
      </c>
      <c r="D32" s="25"/>
      <c r="E32" s="25"/>
      <c r="F32" s="54" t="s">
        <v>80</v>
      </c>
      <c r="G32" s="64"/>
      <c r="H32" s="64"/>
      <c r="I32" s="64"/>
      <c r="J32" s="64"/>
      <c r="K32" s="64"/>
      <c r="L32" s="64"/>
    </row>
    <row r="33">
      <c r="A33" s="66"/>
      <c r="B33" s="8"/>
      <c r="C33" s="17"/>
      <c r="D33" s="8"/>
      <c r="E33" s="8"/>
      <c r="F33" s="8"/>
      <c r="G33" s="8"/>
      <c r="H33" s="8"/>
      <c r="I33" s="8"/>
      <c r="J33" s="8"/>
      <c r="K33" s="8"/>
      <c r="L33" s="8"/>
    </row>
    <row r="34">
      <c r="A34" s="66"/>
      <c r="B34" s="8"/>
      <c r="C34" s="17"/>
      <c r="D34" s="8"/>
      <c r="E34" s="8"/>
      <c r="F34" s="8"/>
      <c r="G34" s="8"/>
      <c r="H34" s="8"/>
      <c r="I34" s="8"/>
      <c r="J34" s="8"/>
      <c r="K34" s="8"/>
      <c r="L34" s="8"/>
    </row>
    <row r="35">
      <c r="A35" s="66"/>
      <c r="B35" s="8"/>
      <c r="C35" s="17"/>
      <c r="D35" s="8"/>
      <c r="E35" s="8"/>
      <c r="F35" s="8"/>
      <c r="G35" s="8"/>
      <c r="H35" s="8"/>
      <c r="I35" s="8"/>
      <c r="J35" s="8"/>
      <c r="K35" s="8"/>
      <c r="L35" s="8"/>
    </row>
    <row r="36">
      <c r="A36" s="66"/>
      <c r="B36" s="8"/>
      <c r="C36" s="17"/>
      <c r="D36" s="8"/>
      <c r="E36" s="8"/>
      <c r="F36" s="8"/>
      <c r="G36" s="8"/>
      <c r="H36" s="8"/>
      <c r="I36" s="8"/>
      <c r="J36" s="8"/>
      <c r="K36" s="8"/>
      <c r="L36" s="8"/>
    </row>
    <row r="37">
      <c r="A37" s="67" t="s">
        <v>155</v>
      </c>
      <c r="B37" s="68"/>
      <c r="C37" s="68"/>
      <c r="D37" s="69"/>
      <c r="E37" s="8"/>
      <c r="F37" s="8"/>
      <c r="G37" s="8"/>
      <c r="H37" s="8"/>
      <c r="I37" s="8"/>
      <c r="J37" s="8"/>
      <c r="K37" s="8"/>
      <c r="L37" s="8"/>
    </row>
    <row r="38">
      <c r="A38" s="62"/>
      <c r="B38" s="70" t="s">
        <v>5</v>
      </c>
      <c r="C38" s="70" t="s">
        <v>81</v>
      </c>
      <c r="D38" s="70" t="s">
        <v>7</v>
      </c>
      <c r="E38" s="8"/>
      <c r="F38" s="8"/>
      <c r="G38" s="8"/>
      <c r="H38" s="8"/>
      <c r="I38" s="8"/>
      <c r="J38" s="8"/>
      <c r="K38" s="8"/>
      <c r="L38" s="8"/>
    </row>
    <row r="39">
      <c r="A39" s="71" t="s">
        <v>82</v>
      </c>
      <c r="B39" s="25">
        <v>0.0</v>
      </c>
      <c r="C39" s="25">
        <v>18.0</v>
      </c>
      <c r="D39" s="25">
        <v>0.0</v>
      </c>
      <c r="E39" s="8"/>
      <c r="F39" s="8"/>
      <c r="G39" s="8"/>
      <c r="H39" s="8"/>
      <c r="I39" s="8"/>
      <c r="J39" s="8"/>
      <c r="K39" s="8"/>
      <c r="L39" s="8"/>
    </row>
    <row r="40">
      <c r="A40" s="71" t="s">
        <v>83</v>
      </c>
      <c r="B40" s="25">
        <v>0.0</v>
      </c>
      <c r="C40" s="25">
        <v>0.0</v>
      </c>
      <c r="D40" s="25">
        <v>0.0</v>
      </c>
      <c r="E40" s="8"/>
      <c r="F40" s="8"/>
      <c r="G40" s="8"/>
      <c r="H40" s="8"/>
      <c r="I40" s="8"/>
      <c r="J40" s="8"/>
      <c r="K40" s="8"/>
      <c r="L40" s="8"/>
    </row>
    <row r="41">
      <c r="A41" s="71" t="s">
        <v>84</v>
      </c>
      <c r="B41" s="25">
        <v>0.0</v>
      </c>
      <c r="C41" s="25">
        <v>0.0</v>
      </c>
      <c r="D41" s="25">
        <v>0.0</v>
      </c>
      <c r="E41" s="8"/>
      <c r="F41" s="8"/>
      <c r="G41" s="8"/>
      <c r="H41" s="8"/>
      <c r="I41" s="8"/>
      <c r="J41" s="8"/>
      <c r="K41" s="8"/>
      <c r="L41" s="8"/>
    </row>
    <row r="42">
      <c r="A42" s="71" t="s">
        <v>85</v>
      </c>
      <c r="B42" s="25">
        <v>0.0</v>
      </c>
      <c r="C42" s="25">
        <v>3.0</v>
      </c>
      <c r="D42" s="25">
        <v>0.0</v>
      </c>
      <c r="E42" s="8"/>
      <c r="F42" s="8"/>
      <c r="G42" s="8"/>
      <c r="H42" s="8"/>
      <c r="I42" s="8"/>
      <c r="J42" s="8"/>
      <c r="K42" s="8"/>
      <c r="L42" s="8"/>
    </row>
    <row r="43">
      <c r="A43" s="66"/>
      <c r="B43" s="8"/>
      <c r="C43" s="17"/>
      <c r="D43" s="8"/>
      <c r="E43" s="8"/>
      <c r="F43" s="8"/>
      <c r="G43" s="8"/>
      <c r="H43" s="8"/>
      <c r="I43" s="8"/>
      <c r="J43" s="8"/>
      <c r="K43" s="8"/>
      <c r="L43" s="8"/>
    </row>
    <row r="44">
      <c r="A44" s="66"/>
      <c r="B44" s="8"/>
      <c r="C44" s="17"/>
      <c r="D44" s="8"/>
      <c r="E44" s="8"/>
      <c r="F44" s="8"/>
      <c r="G44" s="8"/>
      <c r="H44" s="8"/>
      <c r="I44" s="8"/>
      <c r="J44" s="8"/>
      <c r="K44" s="8"/>
      <c r="L44" s="8"/>
    </row>
    <row r="45">
      <c r="A45" s="72" t="s">
        <v>86</v>
      </c>
      <c r="B45" s="68"/>
      <c r="C45" s="68"/>
      <c r="D45" s="68"/>
      <c r="E45" s="69"/>
      <c r="F45" s="8"/>
      <c r="G45" s="8"/>
      <c r="H45" s="8"/>
      <c r="I45" s="8"/>
      <c r="J45" s="8"/>
      <c r="K45" s="8"/>
      <c r="L45" s="8"/>
    </row>
    <row r="46">
      <c r="A46" s="71" t="s">
        <v>8</v>
      </c>
      <c r="B46" s="25"/>
      <c r="C46" s="73"/>
      <c r="D46" s="25"/>
      <c r="E46" s="70" t="s">
        <v>87</v>
      </c>
      <c r="F46" s="8"/>
      <c r="G46" s="8"/>
      <c r="H46" s="8"/>
      <c r="I46" s="8"/>
      <c r="J46" s="8"/>
      <c r="K46" s="8"/>
      <c r="L46" s="8"/>
    </row>
    <row r="47">
      <c r="A47" s="74" t="s">
        <v>88</v>
      </c>
      <c r="B47" s="25"/>
      <c r="C47" s="73"/>
      <c r="D47" s="25"/>
      <c r="E47" s="75" t="s">
        <v>24</v>
      </c>
      <c r="F47" s="8"/>
      <c r="G47" s="8"/>
      <c r="H47" s="8"/>
      <c r="I47" s="8"/>
      <c r="J47" s="8"/>
      <c r="K47" s="8"/>
      <c r="L47" s="8"/>
    </row>
    <row r="48">
      <c r="A48" s="76" t="s">
        <v>89</v>
      </c>
      <c r="B48" s="25"/>
      <c r="C48" s="73"/>
      <c r="D48" s="25"/>
      <c r="E48" s="77" t="s">
        <v>13</v>
      </c>
      <c r="F48" s="8"/>
      <c r="G48" s="8"/>
      <c r="H48" s="8"/>
      <c r="I48" s="8"/>
      <c r="J48" s="8"/>
      <c r="K48" s="8"/>
      <c r="L48" s="8"/>
    </row>
    <row r="49">
      <c r="A49" s="78" t="s">
        <v>90</v>
      </c>
      <c r="B49" s="25"/>
      <c r="C49" s="73"/>
      <c r="D49" s="25"/>
      <c r="E49" s="79" t="s">
        <v>91</v>
      </c>
      <c r="F49" s="8"/>
      <c r="G49" s="8"/>
      <c r="H49" s="8"/>
      <c r="I49" s="8"/>
      <c r="J49" s="8"/>
      <c r="K49" s="8"/>
      <c r="L49" s="8"/>
    </row>
    <row r="50">
      <c r="A50" s="80" t="s">
        <v>92</v>
      </c>
      <c r="B50" s="25"/>
      <c r="C50" s="73"/>
      <c r="D50" s="25"/>
      <c r="E50" s="81" t="s">
        <v>10</v>
      </c>
      <c r="F50" s="8"/>
      <c r="G50" s="8"/>
      <c r="H50" s="8"/>
      <c r="I50" s="8"/>
      <c r="J50" s="8"/>
      <c r="K50" s="8"/>
      <c r="L50" s="8"/>
    </row>
    <row r="51">
      <c r="A51" s="82" t="s">
        <v>93</v>
      </c>
      <c r="B51" s="25"/>
      <c r="C51" s="73"/>
      <c r="D51" s="25"/>
      <c r="E51" s="83" t="s">
        <v>94</v>
      </c>
      <c r="F51" s="8"/>
      <c r="G51" s="8"/>
      <c r="H51" s="8"/>
      <c r="I51" s="8"/>
      <c r="J51" s="8"/>
      <c r="K51" s="8"/>
      <c r="L51" s="8"/>
    </row>
    <row r="52">
      <c r="A52" s="84" t="s">
        <v>95</v>
      </c>
      <c r="B52" s="25"/>
      <c r="C52" s="73"/>
      <c r="D52" s="25"/>
      <c r="E52" s="85" t="s">
        <v>11</v>
      </c>
      <c r="F52" s="8"/>
      <c r="G52" s="8"/>
      <c r="H52" s="8"/>
      <c r="I52" s="8"/>
      <c r="J52" s="8"/>
      <c r="K52" s="8"/>
      <c r="L52" s="8"/>
    </row>
    <row r="53">
      <c r="A53" s="86" t="s">
        <v>96</v>
      </c>
      <c r="B53" s="25"/>
      <c r="C53" s="73"/>
      <c r="D53" s="25"/>
      <c r="E53" s="87" t="s">
        <v>97</v>
      </c>
      <c r="F53" s="8"/>
      <c r="G53" s="8"/>
      <c r="H53" s="8"/>
      <c r="I53" s="8"/>
      <c r="J53" s="8"/>
      <c r="K53" s="8"/>
      <c r="L53" s="8"/>
    </row>
    <row r="54">
      <c r="A54" s="88" t="s">
        <v>98</v>
      </c>
      <c r="B54" s="25"/>
      <c r="C54" s="73"/>
      <c r="D54" s="25"/>
      <c r="E54" s="89" t="s">
        <v>12</v>
      </c>
      <c r="F54" s="8"/>
      <c r="G54" s="8"/>
      <c r="H54" s="8"/>
      <c r="I54" s="8"/>
      <c r="J54" s="8"/>
      <c r="K54" s="8"/>
      <c r="L54" s="8"/>
    </row>
    <row r="55">
      <c r="A55" s="90" t="s">
        <v>99</v>
      </c>
      <c r="B55" s="25"/>
      <c r="C55" s="73"/>
      <c r="D55" s="25"/>
      <c r="E55" s="91" t="s">
        <v>100</v>
      </c>
      <c r="F55" s="8"/>
      <c r="G55" s="8"/>
      <c r="H55" s="8"/>
      <c r="I55" s="8"/>
      <c r="J55" s="8"/>
      <c r="K55" s="8"/>
      <c r="L55" s="8"/>
    </row>
    <row r="56">
      <c r="A56" s="92" t="s">
        <v>101</v>
      </c>
      <c r="B56" s="25"/>
      <c r="C56" s="73"/>
      <c r="D56" s="25"/>
      <c r="E56" s="25"/>
      <c r="F56" s="8"/>
      <c r="G56" s="8"/>
      <c r="H56" s="8"/>
      <c r="I56" s="8"/>
      <c r="J56" s="8"/>
      <c r="K56" s="8"/>
      <c r="L56" s="8"/>
    </row>
    <row r="57">
      <c r="A57" s="93" t="s">
        <v>102</v>
      </c>
      <c r="B57" s="25"/>
      <c r="C57" s="73"/>
      <c r="D57" s="25"/>
      <c r="E57" s="25"/>
      <c r="F57" s="8"/>
      <c r="G57" s="8"/>
      <c r="H57" s="8"/>
      <c r="I57" s="8"/>
      <c r="J57" s="8"/>
      <c r="K57" s="8"/>
      <c r="L57" s="8"/>
    </row>
    <row r="58">
      <c r="A58" s="94" t="s">
        <v>103</v>
      </c>
      <c r="B58" s="25"/>
      <c r="C58" s="73"/>
      <c r="D58" s="25"/>
      <c r="E58" s="25"/>
      <c r="F58" s="8"/>
      <c r="G58" s="8"/>
      <c r="H58" s="8"/>
      <c r="I58" s="8"/>
      <c r="J58" s="8"/>
      <c r="K58" s="8"/>
      <c r="L58" s="8"/>
    </row>
    <row r="59">
      <c r="A59" s="95" t="s">
        <v>104</v>
      </c>
      <c r="B59" s="25"/>
      <c r="C59" s="73"/>
      <c r="D59" s="25"/>
      <c r="E59" s="25"/>
      <c r="F59" s="8"/>
      <c r="G59" s="8"/>
      <c r="H59" s="8"/>
      <c r="I59" s="8"/>
      <c r="J59" s="8"/>
      <c r="K59" s="8"/>
      <c r="L59" s="8"/>
    </row>
    <row r="60">
      <c r="A60" s="96" t="s">
        <v>105</v>
      </c>
      <c r="B60" s="25"/>
      <c r="C60" s="73"/>
      <c r="D60" s="25"/>
      <c r="E60" s="25"/>
      <c r="F60" s="8"/>
      <c r="G60" s="8"/>
      <c r="H60" s="8"/>
      <c r="I60" s="8"/>
      <c r="J60" s="8"/>
      <c r="K60" s="8"/>
      <c r="L60" s="8"/>
    </row>
    <row r="61">
      <c r="A61" s="97" t="s">
        <v>106</v>
      </c>
      <c r="B61" s="25"/>
      <c r="C61" s="73"/>
      <c r="D61" s="25"/>
      <c r="E61" s="25"/>
      <c r="F61" s="8"/>
      <c r="G61" s="8"/>
      <c r="H61" s="8"/>
      <c r="I61" s="8"/>
      <c r="J61" s="8"/>
      <c r="K61" s="8"/>
      <c r="L61" s="8"/>
    </row>
    <row r="62">
      <c r="A62" s="66"/>
      <c r="B62" s="8"/>
      <c r="C62" s="17"/>
      <c r="D62" s="8"/>
      <c r="E62" s="8"/>
      <c r="F62" s="8"/>
      <c r="G62" s="8"/>
      <c r="H62" s="8"/>
      <c r="I62" s="8"/>
      <c r="J62" s="8"/>
      <c r="K62" s="8"/>
      <c r="L62" s="8"/>
    </row>
    <row r="63">
      <c r="A63" s="66"/>
      <c r="B63" s="8"/>
      <c r="C63" s="17"/>
      <c r="D63" s="8"/>
      <c r="E63" s="8"/>
      <c r="F63" s="8"/>
      <c r="G63" s="8"/>
      <c r="H63" s="8"/>
      <c r="I63" s="8"/>
      <c r="J63" s="8"/>
      <c r="K63" s="8"/>
      <c r="L63" s="8"/>
    </row>
    <row r="64">
      <c r="A64" s="66"/>
      <c r="B64" s="8"/>
      <c r="C64" s="17"/>
      <c r="D64" s="8"/>
      <c r="E64" s="8"/>
      <c r="F64" s="8"/>
      <c r="G64" s="8"/>
      <c r="H64" s="8"/>
      <c r="I64" s="8"/>
      <c r="J64" s="8"/>
      <c r="K64" s="8"/>
      <c r="L64" s="8"/>
    </row>
    <row r="65">
      <c r="A65" s="66"/>
      <c r="B65" s="8"/>
      <c r="C65" s="17"/>
      <c r="D65" s="8"/>
      <c r="E65" s="8"/>
      <c r="F65" s="8"/>
      <c r="G65" s="8"/>
      <c r="H65" s="8"/>
      <c r="I65" s="8"/>
      <c r="J65" s="8"/>
      <c r="K65" s="8"/>
      <c r="L65" s="8"/>
    </row>
    <row r="66">
      <c r="A66" s="66"/>
      <c r="B66" s="8"/>
      <c r="C66" s="17"/>
      <c r="D66" s="8"/>
      <c r="E66" s="8"/>
      <c r="F66" s="8"/>
      <c r="G66" s="8"/>
      <c r="H66" s="8"/>
      <c r="I66" s="8"/>
      <c r="J66" s="8"/>
      <c r="K66" s="8"/>
      <c r="L66" s="8"/>
    </row>
  </sheetData>
  <mergeCells count="10">
    <mergeCell ref="A27:A31"/>
    <mergeCell ref="A37:D37"/>
    <mergeCell ref="A45:E45"/>
    <mergeCell ref="G1:I1"/>
    <mergeCell ref="J1:L1"/>
    <mergeCell ref="A6:A26"/>
    <mergeCell ref="B7:B9"/>
    <mergeCell ref="B10:B13"/>
    <mergeCell ref="B17:B20"/>
    <mergeCell ref="B21:B23"/>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"Aditya"</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"Sakshi"</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"Sourabh"</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B3:D3 G4:L4">
    <cfRule type="cellIs" dxfId="12" priority="16" stopIfTrue="1" operator="equal">
      <formula>"Soumyajit"</formula>
    </cfRule>
  </conditionalFormatting>
  <conditionalFormatting sqref="B3:D3 G4:L4">
    <cfRule type="cellIs" dxfId="13" priority="17" stopIfTrue="1" operator="equal">
      <formula>"Propali"</formula>
    </cfRule>
  </conditionalFormatting>
  <conditionalFormatting sqref="G6:L32">
    <cfRule type="cellIs" dxfId="16" priority="18" stopIfTrue="1" operator="equal">
      <formula>"OK"</formula>
    </cfRule>
  </conditionalFormatting>
  <conditionalFormatting sqref="B3:D3 G4:L4 G6:L32">
    <cfRule type="cellIs" dxfId="18" priority="19" stopIfTrue="1" operator="equal">
      <formula>"Not Tested"</formula>
    </cfRule>
  </conditionalFormatting>
  <conditionalFormatting sqref="G6:L32">
    <cfRule type="cellIs" dxfId="19" priority="20" stopIfTrue="1" operator="equal">
      <formula>"N/A"</formula>
    </cfRule>
  </conditionalFormatting>
  <conditionalFormatting sqref="B2:D2 G3:L3">
    <cfRule type="containsText" dxfId="20" priority="21" stopIfTrue="1" operator="containsText" text="Incomplete">
      <formula>NOT(ISERROR(SEARCH(("Incomplete"),(B2))))</formula>
    </cfRule>
  </conditionalFormatting>
  <conditionalFormatting sqref="B2:D2 G3:L3">
    <cfRule type="containsText" dxfId="17" priority="22" stopIfTrue="1" operator="containsText" text="Broken">
      <formula>NOT(ISERROR(SEARCH(("Broken"),(B2))))</formula>
    </cfRule>
  </conditionalFormatting>
  <conditionalFormatting sqref="B2:D2 G3:L3">
    <cfRule type="containsText" dxfId="21" priority="23" stopIfTrue="1" operator="containsText" text="Some problems">
      <formula>NOT(ISERROR(SEARCH(("Some problems"),(B2))))</formula>
    </cfRule>
  </conditionalFormatting>
  <conditionalFormatting sqref="B2:D2 G3:L3">
    <cfRule type="containsText" dxfId="22" priority="24" stopIfTrue="1" operator="containsText" text="All OK">
      <formula>NOT(ISERROR(SEARCH(("All OK"),(B2))))</formula>
    </cfRule>
  </conditionalFormatting>
  <conditionalFormatting sqref="B2:D2 G3:L3">
    <cfRule type="containsText" dxfId="23" priority="25" stopIfTrue="1" operator="containsText" text="In Progress">
      <formula>NOT(ISERROR(SEARCH(("In Progress"),(B2))))</formula>
    </cfRule>
  </conditionalFormatting>
  <conditionalFormatting sqref="B2:D2 G3:L3">
    <cfRule type="containsText" dxfId="24" priority="26" stopIfTrue="1" operator="containsText" text="Not Tested">
      <formula>NOT(ISERROR(SEARCH(("Not Tested"),(B2))))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156</v>
      </c>
      <c r="B1" s="2" t="s">
        <v>108</v>
      </c>
      <c r="C1" s="2" t="s">
        <v>109</v>
      </c>
      <c r="D1" s="2" t="s">
        <v>110</v>
      </c>
      <c r="E1" s="3"/>
      <c r="F1" s="4" t="s">
        <v>0</v>
      </c>
      <c r="G1" s="5" t="s">
        <v>156</v>
      </c>
      <c r="H1" s="6"/>
      <c r="I1" s="7"/>
      <c r="J1" s="5" t="s">
        <v>157</v>
      </c>
      <c r="K1" s="6"/>
      <c r="L1" s="7"/>
      <c r="M1" s="5" t="s">
        <v>158</v>
      </c>
      <c r="N1" s="6"/>
      <c r="O1" s="7"/>
    </row>
    <row r="2">
      <c r="A2" s="9"/>
      <c r="B2" s="10" t="s">
        <v>159</v>
      </c>
      <c r="C2" s="10" t="s">
        <v>10</v>
      </c>
      <c r="D2" s="10" t="s">
        <v>10</v>
      </c>
      <c r="E2" s="8"/>
      <c r="F2" s="11" t="s">
        <v>4</v>
      </c>
      <c r="G2" s="12" t="s">
        <v>5</v>
      </c>
      <c r="H2" s="12" t="s">
        <v>6</v>
      </c>
      <c r="I2" s="12" t="s">
        <v>7</v>
      </c>
      <c r="J2" s="12" t="s">
        <v>5</v>
      </c>
      <c r="K2" s="12" t="s">
        <v>6</v>
      </c>
      <c r="L2" s="12" t="s">
        <v>7</v>
      </c>
      <c r="M2" s="12" t="s">
        <v>5</v>
      </c>
      <c r="N2" s="12" t="s">
        <v>6</v>
      </c>
      <c r="O2" s="12" t="s">
        <v>7</v>
      </c>
    </row>
    <row r="3">
      <c r="A3" s="13" t="s">
        <v>8</v>
      </c>
      <c r="B3" s="10" t="s">
        <v>103</v>
      </c>
      <c r="C3" s="10" t="s">
        <v>13</v>
      </c>
      <c r="D3" s="10" t="s">
        <v>13</v>
      </c>
      <c r="E3" s="8"/>
      <c r="F3" s="14" t="s">
        <v>9</v>
      </c>
      <c r="G3" s="15" t="s">
        <v>97</v>
      </c>
      <c r="H3" s="15" t="s">
        <v>10</v>
      </c>
      <c r="I3" s="15" t="s">
        <v>10</v>
      </c>
      <c r="J3" s="15" t="s">
        <v>10</v>
      </c>
      <c r="K3" s="15" t="s">
        <v>97</v>
      </c>
      <c r="L3" s="15" t="s">
        <v>10</v>
      </c>
      <c r="M3" s="15" t="s">
        <v>10</v>
      </c>
      <c r="N3" s="15" t="s">
        <v>10</v>
      </c>
      <c r="O3" s="15" t="s">
        <v>97</v>
      </c>
    </row>
    <row r="4">
      <c r="A4" s="16"/>
      <c r="B4" s="8"/>
      <c r="C4" s="17"/>
      <c r="D4" s="8"/>
      <c r="E4" s="8"/>
      <c r="F4" s="18"/>
      <c r="G4" s="15" t="s">
        <v>103</v>
      </c>
      <c r="H4" s="15" t="s">
        <v>13</v>
      </c>
      <c r="I4" s="15" t="s">
        <v>13</v>
      </c>
      <c r="J4" s="15" t="s">
        <v>13</v>
      </c>
      <c r="K4" s="15" t="s">
        <v>103</v>
      </c>
      <c r="L4" s="15" t="s">
        <v>13</v>
      </c>
      <c r="M4" s="15" t="s">
        <v>13</v>
      </c>
      <c r="N4" s="15" t="s">
        <v>13</v>
      </c>
      <c r="O4" s="15" t="s">
        <v>103</v>
      </c>
    </row>
    <row r="5">
      <c r="A5" s="19" t="s">
        <v>15</v>
      </c>
      <c r="B5" s="20" t="s">
        <v>16</v>
      </c>
      <c r="C5" s="20" t="s">
        <v>17</v>
      </c>
      <c r="D5" s="21" t="s">
        <v>18</v>
      </c>
      <c r="E5" s="21" t="s">
        <v>19</v>
      </c>
      <c r="F5" s="22" t="s">
        <v>20</v>
      </c>
      <c r="G5" s="23"/>
      <c r="H5" s="23"/>
      <c r="I5" s="23"/>
      <c r="J5" s="23"/>
      <c r="K5" s="23"/>
      <c r="L5" s="23"/>
      <c r="M5" s="23"/>
      <c r="N5" s="23"/>
      <c r="O5" s="23"/>
    </row>
    <row r="6">
      <c r="A6" s="56" t="s">
        <v>125</v>
      </c>
      <c r="B6" s="25"/>
      <c r="C6" s="26" t="s">
        <v>21</v>
      </c>
      <c r="D6" s="8"/>
      <c r="E6" s="8"/>
      <c r="F6" s="18"/>
      <c r="G6" s="28" t="s">
        <v>24</v>
      </c>
      <c r="H6" s="28"/>
      <c r="I6" s="63"/>
      <c r="J6" s="63"/>
      <c r="K6" s="28" t="s">
        <v>24</v>
      </c>
      <c r="L6" s="63"/>
      <c r="M6" s="63"/>
      <c r="N6" s="63"/>
      <c r="O6" s="63"/>
    </row>
    <row r="7">
      <c r="A7" s="30"/>
      <c r="B7" s="31" t="s">
        <v>25</v>
      </c>
      <c r="C7" s="32" t="s">
        <v>26</v>
      </c>
      <c r="D7" s="8"/>
      <c r="E7" s="8"/>
      <c r="F7" s="99" t="s">
        <v>27</v>
      </c>
      <c r="G7" s="28" t="s">
        <v>24</v>
      </c>
      <c r="H7" s="34"/>
      <c r="I7" s="34"/>
      <c r="J7" s="63"/>
      <c r="K7" s="34" t="s">
        <v>24</v>
      </c>
      <c r="L7" s="34"/>
      <c r="M7" s="63"/>
      <c r="N7" s="34"/>
      <c r="O7" s="34"/>
    </row>
    <row r="8">
      <c r="A8" s="30"/>
      <c r="B8" s="30"/>
      <c r="C8" s="32" t="s">
        <v>160</v>
      </c>
      <c r="D8" s="8"/>
      <c r="E8" s="8"/>
      <c r="F8" s="59" t="s">
        <v>30</v>
      </c>
      <c r="G8" s="28" t="s">
        <v>24</v>
      </c>
      <c r="H8" s="37"/>
      <c r="I8" s="37"/>
      <c r="J8" s="63"/>
      <c r="K8" s="37" t="s">
        <v>24</v>
      </c>
      <c r="L8" s="37"/>
      <c r="M8" s="63"/>
      <c r="N8" s="37"/>
      <c r="O8" s="37"/>
    </row>
    <row r="9">
      <c r="A9" s="30"/>
      <c r="B9" s="38"/>
      <c r="C9" s="32" t="s">
        <v>31</v>
      </c>
      <c r="D9" s="8"/>
      <c r="E9" s="8"/>
      <c r="F9" s="18"/>
      <c r="G9" s="28" t="s">
        <v>24</v>
      </c>
      <c r="H9" s="39"/>
      <c r="I9" s="47"/>
      <c r="J9" s="63"/>
      <c r="K9" s="39" t="s">
        <v>24</v>
      </c>
      <c r="L9" s="47"/>
      <c r="M9" s="63"/>
      <c r="N9" s="39"/>
      <c r="O9" s="47"/>
    </row>
    <row r="10">
      <c r="A10" s="30"/>
      <c r="B10" s="31" t="s">
        <v>32</v>
      </c>
      <c r="C10" s="32" t="s">
        <v>33</v>
      </c>
      <c r="D10" s="8"/>
      <c r="E10" s="8"/>
      <c r="F10" s="59" t="s">
        <v>34</v>
      </c>
      <c r="G10" s="28" t="s">
        <v>24</v>
      </c>
      <c r="H10" s="41"/>
      <c r="I10" s="47"/>
      <c r="J10" s="63"/>
      <c r="K10" s="106" t="s">
        <v>24</v>
      </c>
      <c r="L10" s="47"/>
      <c r="M10" s="63"/>
      <c r="N10" s="41"/>
      <c r="O10" s="47"/>
    </row>
    <row r="11">
      <c r="A11" s="30"/>
      <c r="B11" s="30"/>
      <c r="C11" s="42" t="s">
        <v>35</v>
      </c>
      <c r="D11" s="8"/>
      <c r="E11" s="8"/>
      <c r="F11" s="99" t="s">
        <v>114</v>
      </c>
      <c r="G11" s="28" t="s">
        <v>24</v>
      </c>
      <c r="H11" s="43"/>
      <c r="I11" s="47"/>
      <c r="J11" s="63"/>
      <c r="K11" s="107" t="s">
        <v>24</v>
      </c>
      <c r="L11" s="47"/>
      <c r="M11" s="63"/>
      <c r="N11" s="43"/>
      <c r="O11" s="47"/>
    </row>
    <row r="12">
      <c r="A12" s="30"/>
      <c r="B12" s="30"/>
      <c r="C12" s="32" t="s">
        <v>38</v>
      </c>
      <c r="D12" s="8"/>
      <c r="E12" s="8"/>
      <c r="F12" s="44"/>
      <c r="G12" s="28" t="s">
        <v>24</v>
      </c>
      <c r="H12" s="43"/>
      <c r="I12" s="104"/>
      <c r="J12" s="63"/>
      <c r="K12" s="107" t="s">
        <v>24</v>
      </c>
      <c r="L12" s="104"/>
      <c r="M12" s="63"/>
      <c r="N12" s="43"/>
      <c r="O12" s="104"/>
    </row>
    <row r="13">
      <c r="A13" s="30"/>
      <c r="B13" s="38"/>
      <c r="C13" s="32" t="s">
        <v>39</v>
      </c>
      <c r="D13" s="8"/>
      <c r="E13" s="8"/>
      <c r="F13" s="45" t="s">
        <v>40</v>
      </c>
      <c r="G13" s="28" t="s">
        <v>24</v>
      </c>
      <c r="H13" s="39"/>
      <c r="I13" s="47"/>
      <c r="J13" s="63"/>
      <c r="K13" s="39" t="s">
        <v>24</v>
      </c>
      <c r="L13" s="47"/>
      <c r="M13" s="63"/>
      <c r="N13" s="39"/>
      <c r="O13" s="47"/>
    </row>
    <row r="14">
      <c r="A14" s="30"/>
      <c r="B14" s="42" t="s">
        <v>41</v>
      </c>
      <c r="C14" s="32" t="s">
        <v>42</v>
      </c>
      <c r="D14" s="8"/>
      <c r="E14" s="8"/>
      <c r="F14" s="18"/>
      <c r="G14" s="28" t="s">
        <v>24</v>
      </c>
      <c r="H14" s="39"/>
      <c r="I14" s="47"/>
      <c r="J14" s="63"/>
      <c r="K14" s="39" t="s">
        <v>24</v>
      </c>
      <c r="L14" s="47"/>
      <c r="M14" s="63"/>
      <c r="N14" s="39"/>
      <c r="O14" s="47"/>
    </row>
    <row r="15">
      <c r="A15" s="30"/>
      <c r="B15" s="32"/>
      <c r="C15" s="32" t="s">
        <v>136</v>
      </c>
      <c r="D15" s="8"/>
      <c r="E15" s="8"/>
      <c r="F15" s="49"/>
      <c r="G15" s="28" t="s">
        <v>24</v>
      </c>
      <c r="H15" s="39"/>
      <c r="I15" s="104"/>
      <c r="J15" s="63"/>
      <c r="K15" s="39" t="s">
        <v>24</v>
      </c>
      <c r="L15" s="104"/>
      <c r="M15" s="63"/>
      <c r="N15" s="39"/>
      <c r="O15" s="104"/>
    </row>
    <row r="16">
      <c r="A16" s="30"/>
      <c r="B16" s="32" t="s">
        <v>45</v>
      </c>
      <c r="C16" s="32" t="s">
        <v>46</v>
      </c>
      <c r="D16" s="8"/>
      <c r="E16" s="8"/>
      <c r="F16" s="49" t="s">
        <v>48</v>
      </c>
      <c r="G16" s="28" t="s">
        <v>24</v>
      </c>
      <c r="H16" s="39"/>
      <c r="I16" s="104"/>
      <c r="J16" s="63"/>
      <c r="K16" s="39" t="s">
        <v>24</v>
      </c>
      <c r="L16" s="104"/>
      <c r="M16" s="63"/>
      <c r="N16" s="39"/>
      <c r="O16" s="104"/>
    </row>
    <row r="17">
      <c r="A17" s="30"/>
      <c r="B17" s="51" t="s">
        <v>49</v>
      </c>
      <c r="C17" s="32" t="s">
        <v>50</v>
      </c>
      <c r="D17" s="8"/>
      <c r="E17" s="8"/>
      <c r="F17" s="18"/>
      <c r="G17" s="28" t="s">
        <v>24</v>
      </c>
      <c r="H17" s="39"/>
      <c r="I17" s="47"/>
      <c r="J17" s="63"/>
      <c r="K17" s="39" t="s">
        <v>24</v>
      </c>
      <c r="L17" s="47"/>
      <c r="M17" s="63"/>
      <c r="N17" s="39"/>
      <c r="O17" s="47"/>
    </row>
    <row r="18">
      <c r="A18" s="30"/>
      <c r="B18" s="30"/>
      <c r="C18" s="32" t="s">
        <v>51</v>
      </c>
      <c r="D18" s="8"/>
      <c r="E18" s="8"/>
      <c r="F18" s="49" t="s">
        <v>52</v>
      </c>
      <c r="G18" s="28" t="s">
        <v>24</v>
      </c>
      <c r="H18" s="39"/>
      <c r="I18" s="52"/>
      <c r="J18" s="63"/>
      <c r="K18" s="39" t="s">
        <v>24</v>
      </c>
      <c r="L18" s="52"/>
      <c r="M18" s="63"/>
      <c r="N18" s="39"/>
      <c r="O18" s="52"/>
    </row>
    <row r="19">
      <c r="A19" s="30"/>
      <c r="B19" s="30"/>
      <c r="C19" s="32" t="s">
        <v>53</v>
      </c>
      <c r="D19" s="8"/>
      <c r="E19" s="8"/>
      <c r="F19" s="18"/>
      <c r="G19" s="28" t="s">
        <v>24</v>
      </c>
      <c r="H19" s="39"/>
      <c r="I19" s="52"/>
      <c r="J19" s="63"/>
      <c r="K19" s="39" t="s">
        <v>24</v>
      </c>
      <c r="L19" s="52"/>
      <c r="M19" s="63"/>
      <c r="N19" s="39"/>
      <c r="O19" s="52"/>
    </row>
    <row r="20">
      <c r="A20" s="30"/>
      <c r="B20" s="38"/>
      <c r="C20" s="32" t="s">
        <v>54</v>
      </c>
      <c r="D20" s="8"/>
      <c r="E20" s="8"/>
      <c r="F20" s="18"/>
      <c r="G20" s="28" t="s">
        <v>24</v>
      </c>
      <c r="H20" s="28"/>
      <c r="I20" s="53"/>
      <c r="J20" s="63"/>
      <c r="K20" s="28" t="s">
        <v>24</v>
      </c>
      <c r="L20" s="53"/>
      <c r="M20" s="63"/>
      <c r="N20" s="28"/>
      <c r="O20" s="53"/>
    </row>
    <row r="21">
      <c r="A21" s="30"/>
      <c r="B21" s="51" t="s">
        <v>55</v>
      </c>
      <c r="C21" s="32" t="s">
        <v>139</v>
      </c>
      <c r="D21" s="8"/>
      <c r="E21" s="8"/>
      <c r="F21" s="18"/>
      <c r="G21" s="28" t="s">
        <v>24</v>
      </c>
      <c r="H21" s="28"/>
      <c r="I21" s="28"/>
      <c r="J21" s="63"/>
      <c r="K21" s="28" t="s">
        <v>24</v>
      </c>
      <c r="L21" s="28"/>
      <c r="M21" s="63"/>
      <c r="N21" s="28"/>
      <c r="O21" s="28"/>
    </row>
    <row r="22">
      <c r="A22" s="30"/>
      <c r="B22" s="30"/>
      <c r="C22" s="32" t="s">
        <v>140</v>
      </c>
      <c r="D22" s="8"/>
      <c r="E22" s="8"/>
      <c r="F22" s="18"/>
      <c r="G22" s="28" t="s">
        <v>24</v>
      </c>
      <c r="H22" s="28"/>
      <c r="I22" s="28"/>
      <c r="J22" s="63"/>
      <c r="K22" s="28" t="s">
        <v>24</v>
      </c>
      <c r="L22" s="28"/>
      <c r="M22" s="63"/>
      <c r="N22" s="28"/>
      <c r="O22" s="28"/>
    </row>
    <row r="23">
      <c r="A23" s="30"/>
      <c r="B23" s="38"/>
      <c r="C23" s="54" t="s">
        <v>141</v>
      </c>
      <c r="D23" s="8"/>
      <c r="E23" s="8"/>
      <c r="F23" s="18"/>
      <c r="G23" s="28" t="s">
        <v>24</v>
      </c>
      <c r="H23" s="28"/>
      <c r="I23" s="47"/>
      <c r="J23" s="63"/>
      <c r="K23" s="28" t="s">
        <v>24</v>
      </c>
      <c r="L23" s="47"/>
      <c r="M23" s="63"/>
      <c r="N23" s="28"/>
      <c r="O23" s="47"/>
    </row>
    <row r="24">
      <c r="A24" s="30"/>
      <c r="B24" s="32" t="s">
        <v>60</v>
      </c>
      <c r="C24" s="32" t="s">
        <v>61</v>
      </c>
      <c r="D24" s="8"/>
      <c r="E24" s="8"/>
      <c r="F24" s="18"/>
      <c r="G24" s="28" t="s">
        <v>24</v>
      </c>
      <c r="H24" s="40"/>
      <c r="I24" s="63"/>
      <c r="J24" s="63"/>
      <c r="K24" s="40" t="s">
        <v>24</v>
      </c>
      <c r="L24" s="63"/>
      <c r="M24" s="63"/>
      <c r="N24" s="40"/>
      <c r="O24" s="63"/>
    </row>
    <row r="25">
      <c r="A25" s="30"/>
      <c r="B25" s="25"/>
      <c r="C25" s="32" t="s">
        <v>142</v>
      </c>
      <c r="D25" s="8"/>
      <c r="E25" s="8"/>
      <c r="F25" s="18"/>
      <c r="G25" s="28" t="s">
        <v>24</v>
      </c>
      <c r="H25" s="40"/>
      <c r="I25" s="63"/>
      <c r="J25" s="63"/>
      <c r="K25" s="40" t="s">
        <v>24</v>
      </c>
      <c r="L25" s="63"/>
      <c r="M25" s="63"/>
      <c r="N25" s="40"/>
      <c r="O25" s="63"/>
    </row>
    <row r="26">
      <c r="A26" s="38"/>
      <c r="B26" s="32" t="s">
        <v>63</v>
      </c>
      <c r="C26" s="32" t="s">
        <v>64</v>
      </c>
      <c r="D26" s="8"/>
      <c r="E26" s="8"/>
      <c r="F26" s="49" t="s">
        <v>65</v>
      </c>
      <c r="G26" s="28" t="s">
        <v>24</v>
      </c>
      <c r="H26" s="28"/>
      <c r="I26" s="47"/>
      <c r="J26" s="63"/>
      <c r="K26" s="28" t="s">
        <v>24</v>
      </c>
      <c r="L26" s="47"/>
      <c r="M26" s="63"/>
      <c r="N26" s="28"/>
      <c r="O26" s="47"/>
    </row>
    <row r="27">
      <c r="A27" s="56" t="s">
        <v>72</v>
      </c>
      <c r="B27" s="25"/>
      <c r="C27" s="55" t="s">
        <v>73</v>
      </c>
      <c r="D27" s="8"/>
      <c r="E27" s="8"/>
      <c r="F27" s="59" t="s">
        <v>75</v>
      </c>
      <c r="G27" s="28" t="s">
        <v>24</v>
      </c>
      <c r="H27" s="28"/>
      <c r="I27" s="63"/>
      <c r="J27" s="63"/>
      <c r="K27" s="28" t="s">
        <v>24</v>
      </c>
      <c r="L27" s="63"/>
      <c r="M27" s="63"/>
      <c r="N27" s="28"/>
      <c r="O27" s="63"/>
    </row>
    <row r="28">
      <c r="A28" s="30"/>
      <c r="B28" s="25"/>
      <c r="C28" s="55" t="s">
        <v>76</v>
      </c>
      <c r="D28" s="8"/>
      <c r="E28" s="8"/>
      <c r="F28" s="59"/>
      <c r="G28" s="28" t="s">
        <v>24</v>
      </c>
      <c r="H28" s="28"/>
      <c r="I28" s="63"/>
      <c r="J28" s="63"/>
      <c r="K28" s="28" t="s">
        <v>24</v>
      </c>
      <c r="L28" s="63"/>
      <c r="M28" s="63"/>
      <c r="N28" s="28"/>
      <c r="O28" s="63"/>
    </row>
    <row r="29">
      <c r="A29" s="30"/>
      <c r="B29" s="25"/>
      <c r="C29" s="32" t="s">
        <v>77</v>
      </c>
      <c r="D29" s="8"/>
      <c r="E29" s="8"/>
      <c r="F29" s="18"/>
      <c r="G29" s="28" t="s">
        <v>24</v>
      </c>
      <c r="H29" s="28"/>
      <c r="I29" s="63"/>
      <c r="J29" s="63"/>
      <c r="K29" s="28" t="s">
        <v>24</v>
      </c>
      <c r="L29" s="63"/>
      <c r="M29" s="63"/>
      <c r="N29" s="63"/>
      <c r="O29" s="63"/>
    </row>
    <row r="30">
      <c r="A30" s="30"/>
      <c r="B30" s="25"/>
      <c r="C30" s="60" t="s">
        <v>78</v>
      </c>
      <c r="D30" s="8"/>
      <c r="E30" s="8"/>
      <c r="F30" s="8"/>
      <c r="G30" s="61" t="s">
        <v>24</v>
      </c>
      <c r="H30" s="61"/>
      <c r="I30" s="105"/>
      <c r="J30" s="105"/>
      <c r="K30" s="61" t="s">
        <v>24</v>
      </c>
      <c r="L30" s="105"/>
      <c r="M30" s="105"/>
      <c r="N30" s="105"/>
      <c r="O30" s="105"/>
    </row>
    <row r="31">
      <c r="A31" s="38"/>
      <c r="B31" s="25"/>
      <c r="C31" s="32" t="s">
        <v>79</v>
      </c>
      <c r="D31" s="8"/>
      <c r="E31" s="8"/>
      <c r="F31" s="8"/>
      <c r="G31" s="61" t="s">
        <v>24</v>
      </c>
      <c r="H31" s="61"/>
      <c r="I31" s="105"/>
      <c r="J31" s="105"/>
      <c r="K31" s="61" t="s">
        <v>24</v>
      </c>
      <c r="L31" s="105"/>
      <c r="M31" s="105"/>
      <c r="N31" s="105"/>
      <c r="O31" s="105"/>
    </row>
    <row r="32">
      <c r="A32" s="62"/>
      <c r="B32" s="25">
        <v>32.0</v>
      </c>
      <c r="C32" s="25" t="s">
        <v>154</v>
      </c>
      <c r="D32" s="25"/>
      <c r="E32" s="25"/>
      <c r="F32" s="54" t="s">
        <v>80</v>
      </c>
      <c r="G32" s="64"/>
      <c r="H32" s="64"/>
      <c r="I32" s="64"/>
      <c r="J32" s="64"/>
      <c r="K32" s="64"/>
      <c r="L32" s="64"/>
      <c r="M32" s="64"/>
      <c r="N32" s="64"/>
      <c r="O32" s="64"/>
    </row>
    <row r="33">
      <c r="A33" s="66"/>
      <c r="B33" s="8"/>
      <c r="C33" s="17"/>
      <c r="D33" s="8"/>
      <c r="E33" s="8"/>
      <c r="F33" s="8"/>
      <c r="G33" s="8"/>
      <c r="H33" s="8"/>
      <c r="I33" s="8"/>
      <c r="J33" s="8"/>
      <c r="K33" s="8"/>
      <c r="L33" s="8"/>
      <c r="M33" s="8"/>
      <c r="N33" s="8"/>
      <c r="O33" s="8"/>
    </row>
    <row r="34">
      <c r="A34" s="66"/>
      <c r="B34" s="8"/>
      <c r="C34" s="17"/>
      <c r="D34" s="8"/>
      <c r="E34" s="8"/>
      <c r="F34" s="8"/>
      <c r="G34" s="8"/>
      <c r="H34" s="8"/>
      <c r="I34" s="8"/>
      <c r="J34" s="8"/>
      <c r="K34" s="8"/>
      <c r="L34" s="8"/>
      <c r="M34" s="8"/>
      <c r="N34" s="8"/>
      <c r="O34" s="8"/>
    </row>
    <row r="35">
      <c r="A35" s="66"/>
      <c r="B35" s="8"/>
      <c r="C35" s="17"/>
      <c r="D35" s="8"/>
      <c r="E35" s="8"/>
      <c r="F35" s="8"/>
      <c r="G35" s="8"/>
      <c r="H35" s="8"/>
      <c r="I35" s="8"/>
      <c r="J35" s="8"/>
      <c r="K35" s="8"/>
      <c r="L35" s="8"/>
      <c r="M35" s="8"/>
      <c r="N35" s="8"/>
      <c r="O35" s="8"/>
    </row>
    <row r="36">
      <c r="A36" s="66"/>
      <c r="B36" s="8"/>
      <c r="C36" s="17"/>
      <c r="D36" s="8"/>
      <c r="E36" s="8"/>
      <c r="F36" s="8"/>
      <c r="G36" s="8"/>
      <c r="H36" s="8"/>
      <c r="I36" s="8"/>
      <c r="J36" s="8"/>
      <c r="K36" s="8"/>
      <c r="L36" s="8"/>
      <c r="M36" s="8"/>
      <c r="N36" s="8"/>
      <c r="O36" s="8"/>
    </row>
    <row r="37">
      <c r="A37" s="67" t="s">
        <v>161</v>
      </c>
      <c r="B37" s="68"/>
      <c r="C37" s="68"/>
      <c r="D37" s="69"/>
      <c r="E37" s="8"/>
      <c r="F37" s="8"/>
      <c r="G37" s="8"/>
      <c r="H37" s="8"/>
      <c r="I37" s="8"/>
      <c r="J37" s="8"/>
      <c r="K37" s="8"/>
      <c r="L37" s="8"/>
      <c r="M37" s="8"/>
      <c r="N37" s="8"/>
      <c r="O37" s="8"/>
    </row>
    <row r="38">
      <c r="A38" s="62"/>
      <c r="B38" s="70" t="s">
        <v>5</v>
      </c>
      <c r="C38" s="70" t="s">
        <v>81</v>
      </c>
      <c r="D38" s="70" t="s">
        <v>7</v>
      </c>
      <c r="E38" s="8"/>
      <c r="F38" s="8"/>
      <c r="G38" s="8"/>
      <c r="H38" s="8"/>
      <c r="I38" s="8"/>
      <c r="J38" s="8"/>
      <c r="K38" s="8"/>
      <c r="L38" s="8"/>
      <c r="M38" s="8"/>
      <c r="N38" s="8"/>
      <c r="O38" s="8"/>
    </row>
    <row r="39">
      <c r="A39" s="71" t="s">
        <v>82</v>
      </c>
      <c r="B39" s="25">
        <v>24.0</v>
      </c>
      <c r="C39" s="25">
        <v>0.0</v>
      </c>
      <c r="D39" s="25">
        <v>0.0</v>
      </c>
      <c r="E39" s="8"/>
      <c r="F39" s="8"/>
      <c r="G39" s="8"/>
      <c r="H39" s="8"/>
      <c r="I39" s="8"/>
      <c r="J39" s="8"/>
      <c r="K39" s="8"/>
      <c r="L39" s="8"/>
      <c r="M39" s="8"/>
      <c r="N39" s="8"/>
      <c r="O39" s="8"/>
    </row>
    <row r="40">
      <c r="A40" s="71" t="s">
        <v>83</v>
      </c>
      <c r="B40" s="25">
        <v>0.0</v>
      </c>
      <c r="C40" s="25">
        <v>0.0</v>
      </c>
      <c r="D40" s="25">
        <v>0.0</v>
      </c>
      <c r="E40" s="8"/>
      <c r="F40" s="8"/>
      <c r="G40" s="8"/>
      <c r="H40" s="8"/>
      <c r="I40" s="8"/>
      <c r="J40" s="8"/>
      <c r="K40" s="8"/>
      <c r="L40" s="8"/>
      <c r="M40" s="8"/>
      <c r="N40" s="8"/>
      <c r="O40" s="8"/>
    </row>
    <row r="41">
      <c r="A41" s="71" t="s">
        <v>84</v>
      </c>
      <c r="B41" s="25">
        <v>0.0</v>
      </c>
      <c r="C41" s="25">
        <v>0.0</v>
      </c>
      <c r="D41" s="25">
        <v>0.0</v>
      </c>
      <c r="E41" s="8"/>
      <c r="F41" s="8"/>
      <c r="G41" s="8"/>
      <c r="H41" s="8"/>
      <c r="I41" s="8"/>
      <c r="J41" s="8"/>
      <c r="K41" s="8"/>
      <c r="L41" s="8"/>
      <c r="M41" s="8"/>
      <c r="N41" s="8"/>
      <c r="O41" s="8"/>
    </row>
    <row r="42">
      <c r="A42" s="71" t="s">
        <v>85</v>
      </c>
      <c r="B42" s="25">
        <v>0.0</v>
      </c>
      <c r="C42" s="25">
        <v>0.0</v>
      </c>
      <c r="D42" s="25">
        <v>0.0</v>
      </c>
      <c r="E42" s="8"/>
      <c r="F42" s="8"/>
      <c r="G42" s="8"/>
      <c r="H42" s="8"/>
      <c r="I42" s="8"/>
      <c r="J42" s="8"/>
      <c r="K42" s="8"/>
      <c r="L42" s="8"/>
      <c r="M42" s="8"/>
      <c r="N42" s="8"/>
      <c r="O42" s="8"/>
    </row>
    <row r="43">
      <c r="A43" s="66"/>
      <c r="B43" s="8"/>
      <c r="C43" s="17"/>
      <c r="D43" s="8"/>
      <c r="E43" s="8"/>
      <c r="F43" s="8"/>
      <c r="G43" s="8"/>
      <c r="H43" s="8"/>
      <c r="I43" s="8"/>
      <c r="J43" s="8"/>
      <c r="K43" s="8"/>
      <c r="L43" s="8"/>
      <c r="M43" s="8"/>
      <c r="N43" s="8"/>
      <c r="O43" s="8"/>
    </row>
    <row r="44">
      <c r="A44" s="66"/>
      <c r="B44" s="8"/>
      <c r="C44" s="17"/>
      <c r="D44" s="8"/>
      <c r="E44" s="8"/>
      <c r="F44" s="8"/>
      <c r="G44" s="8"/>
      <c r="H44" s="8"/>
      <c r="I44" s="8"/>
      <c r="J44" s="8"/>
      <c r="K44" s="8"/>
      <c r="L44" s="8"/>
      <c r="M44" s="8"/>
      <c r="N44" s="8"/>
      <c r="O44" s="8"/>
    </row>
    <row r="45">
      <c r="A45" s="72" t="s">
        <v>86</v>
      </c>
      <c r="B45" s="68"/>
      <c r="C45" s="68"/>
      <c r="D45" s="68"/>
      <c r="E45" s="69"/>
      <c r="F45" s="8"/>
      <c r="G45" s="8"/>
      <c r="H45" s="8"/>
      <c r="I45" s="8"/>
      <c r="J45" s="8"/>
      <c r="K45" s="8"/>
      <c r="L45" s="8"/>
      <c r="M45" s="8"/>
      <c r="N45" s="8"/>
      <c r="O45" s="8"/>
    </row>
    <row r="46">
      <c r="A46" s="71" t="s">
        <v>8</v>
      </c>
      <c r="B46" s="25"/>
      <c r="C46" s="73"/>
      <c r="D46" s="25"/>
      <c r="E46" s="70" t="s">
        <v>87</v>
      </c>
      <c r="F46" s="8"/>
      <c r="G46" s="8"/>
      <c r="H46" s="8"/>
      <c r="I46" s="8"/>
      <c r="J46" s="8"/>
      <c r="K46" s="8"/>
      <c r="L46" s="8"/>
      <c r="M46" s="8"/>
      <c r="N46" s="8"/>
      <c r="O46" s="8"/>
    </row>
    <row r="47">
      <c r="A47" s="74" t="s">
        <v>88</v>
      </c>
      <c r="B47" s="25"/>
      <c r="C47" s="73"/>
      <c r="D47" s="25"/>
      <c r="E47" s="75" t="s">
        <v>24</v>
      </c>
      <c r="F47" s="8"/>
      <c r="G47" s="8"/>
      <c r="H47" s="8"/>
      <c r="I47" s="8"/>
      <c r="J47" s="8"/>
      <c r="K47" s="8"/>
      <c r="L47" s="8"/>
      <c r="M47" s="8"/>
      <c r="N47" s="8"/>
      <c r="O47" s="8"/>
    </row>
    <row r="48">
      <c r="A48" s="76" t="s">
        <v>89</v>
      </c>
      <c r="B48" s="25"/>
      <c r="C48" s="73"/>
      <c r="D48" s="25"/>
      <c r="E48" s="77" t="s">
        <v>13</v>
      </c>
      <c r="F48" s="8"/>
      <c r="G48" s="8"/>
      <c r="H48" s="8"/>
      <c r="I48" s="8"/>
      <c r="J48" s="8"/>
      <c r="K48" s="8"/>
      <c r="L48" s="8"/>
      <c r="M48" s="8"/>
      <c r="N48" s="8"/>
      <c r="O48" s="8"/>
    </row>
    <row r="49">
      <c r="A49" s="78" t="s">
        <v>90</v>
      </c>
      <c r="B49" s="25"/>
      <c r="C49" s="73"/>
      <c r="D49" s="25"/>
      <c r="E49" s="79" t="s">
        <v>91</v>
      </c>
      <c r="F49" s="8"/>
      <c r="G49" s="8"/>
      <c r="H49" s="8"/>
      <c r="I49" s="8"/>
      <c r="J49" s="8"/>
      <c r="K49" s="8"/>
      <c r="L49" s="8"/>
      <c r="M49" s="8"/>
      <c r="N49" s="8"/>
      <c r="O49" s="8"/>
    </row>
    <row r="50">
      <c r="A50" s="80" t="s">
        <v>92</v>
      </c>
      <c r="B50" s="25"/>
      <c r="C50" s="73"/>
      <c r="D50" s="25"/>
      <c r="E50" s="81" t="s">
        <v>10</v>
      </c>
      <c r="F50" s="8"/>
      <c r="G50" s="8"/>
      <c r="H50" s="8"/>
      <c r="I50" s="8"/>
      <c r="J50" s="8"/>
      <c r="K50" s="8"/>
      <c r="L50" s="8"/>
      <c r="M50" s="8"/>
      <c r="N50" s="8"/>
      <c r="O50" s="8"/>
    </row>
    <row r="51">
      <c r="A51" s="82" t="s">
        <v>93</v>
      </c>
      <c r="B51" s="25"/>
      <c r="C51" s="73"/>
      <c r="D51" s="25"/>
      <c r="E51" s="83" t="s">
        <v>94</v>
      </c>
      <c r="F51" s="8"/>
      <c r="G51" s="8"/>
      <c r="H51" s="8"/>
      <c r="I51" s="8"/>
      <c r="J51" s="8"/>
      <c r="K51" s="8"/>
      <c r="L51" s="8"/>
      <c r="M51" s="8"/>
      <c r="N51" s="8"/>
      <c r="O51" s="8"/>
    </row>
    <row r="52">
      <c r="A52" s="84" t="s">
        <v>95</v>
      </c>
      <c r="B52" s="25"/>
      <c r="C52" s="73"/>
      <c r="D52" s="25"/>
      <c r="E52" s="85" t="s">
        <v>11</v>
      </c>
      <c r="F52" s="8"/>
      <c r="G52" s="8"/>
      <c r="H52" s="8"/>
      <c r="I52" s="8"/>
      <c r="J52" s="8"/>
      <c r="K52" s="8"/>
      <c r="L52" s="8"/>
      <c r="M52" s="8"/>
      <c r="N52" s="8"/>
      <c r="O52" s="8"/>
    </row>
    <row r="53">
      <c r="A53" s="86" t="s">
        <v>96</v>
      </c>
      <c r="B53" s="25"/>
      <c r="C53" s="73"/>
      <c r="D53" s="25"/>
      <c r="E53" s="87" t="s">
        <v>97</v>
      </c>
      <c r="F53" s="8"/>
      <c r="G53" s="8"/>
      <c r="H53" s="8"/>
      <c r="I53" s="8"/>
      <c r="J53" s="8"/>
      <c r="K53" s="8"/>
      <c r="L53" s="8"/>
      <c r="M53" s="8"/>
      <c r="N53" s="8"/>
      <c r="O53" s="8"/>
    </row>
    <row r="54">
      <c r="A54" s="88" t="s">
        <v>98</v>
      </c>
      <c r="B54" s="25"/>
      <c r="C54" s="73"/>
      <c r="D54" s="25"/>
      <c r="E54" s="89" t="s">
        <v>12</v>
      </c>
      <c r="F54" s="8"/>
      <c r="G54" s="8"/>
      <c r="H54" s="8"/>
      <c r="I54" s="8"/>
      <c r="J54" s="8"/>
      <c r="K54" s="8"/>
      <c r="L54" s="8"/>
      <c r="M54" s="8"/>
      <c r="N54" s="8"/>
      <c r="O54" s="8"/>
    </row>
    <row r="55">
      <c r="A55" s="90" t="s">
        <v>99</v>
      </c>
      <c r="B55" s="25"/>
      <c r="C55" s="73"/>
      <c r="D55" s="25"/>
      <c r="E55" s="91" t="s">
        <v>100</v>
      </c>
      <c r="F55" s="8"/>
      <c r="G55" s="8"/>
      <c r="H55" s="8"/>
      <c r="I55" s="8"/>
      <c r="J55" s="8"/>
      <c r="K55" s="8"/>
      <c r="L55" s="8"/>
      <c r="M55" s="8"/>
      <c r="N55" s="8"/>
      <c r="O55" s="8"/>
    </row>
    <row r="56">
      <c r="A56" s="92" t="s">
        <v>101</v>
      </c>
      <c r="B56" s="25"/>
      <c r="C56" s="73"/>
      <c r="D56" s="25"/>
      <c r="E56" s="25"/>
      <c r="F56" s="8"/>
      <c r="G56" s="8"/>
      <c r="H56" s="8"/>
      <c r="I56" s="8"/>
      <c r="J56" s="8"/>
      <c r="K56" s="8"/>
      <c r="L56" s="8"/>
      <c r="M56" s="8"/>
      <c r="N56" s="8"/>
      <c r="O56" s="8"/>
    </row>
    <row r="57">
      <c r="A57" s="93" t="s">
        <v>102</v>
      </c>
      <c r="B57" s="25"/>
      <c r="C57" s="73"/>
      <c r="D57" s="25"/>
      <c r="E57" s="25"/>
      <c r="F57" s="8"/>
      <c r="G57" s="8"/>
      <c r="H57" s="8"/>
      <c r="I57" s="8"/>
      <c r="J57" s="8"/>
      <c r="K57" s="8"/>
      <c r="L57" s="8"/>
      <c r="M57" s="8"/>
      <c r="N57" s="8"/>
      <c r="O57" s="8"/>
    </row>
    <row r="58">
      <c r="A58" s="94" t="s">
        <v>103</v>
      </c>
      <c r="B58" s="25"/>
      <c r="C58" s="73"/>
      <c r="D58" s="25"/>
      <c r="E58" s="25"/>
      <c r="F58" s="8"/>
      <c r="G58" s="8"/>
      <c r="H58" s="8"/>
      <c r="I58" s="8"/>
      <c r="J58" s="8"/>
      <c r="K58" s="8"/>
      <c r="L58" s="8"/>
      <c r="M58" s="8"/>
      <c r="N58" s="8"/>
      <c r="O58" s="8"/>
    </row>
    <row r="59">
      <c r="A59" s="95" t="s">
        <v>104</v>
      </c>
      <c r="B59" s="25"/>
      <c r="C59" s="73"/>
      <c r="D59" s="25"/>
      <c r="E59" s="25"/>
      <c r="F59" s="8"/>
      <c r="G59" s="8"/>
      <c r="H59" s="8"/>
      <c r="I59" s="8"/>
      <c r="J59" s="8"/>
      <c r="K59" s="8"/>
      <c r="L59" s="8"/>
      <c r="M59" s="8"/>
      <c r="N59" s="8"/>
      <c r="O59" s="8"/>
    </row>
    <row r="60">
      <c r="A60" s="96" t="s">
        <v>105</v>
      </c>
      <c r="B60" s="25"/>
      <c r="C60" s="73"/>
      <c r="D60" s="25"/>
      <c r="E60" s="25"/>
      <c r="F60" s="8"/>
      <c r="G60" s="8"/>
      <c r="H60" s="8"/>
      <c r="I60" s="8"/>
      <c r="J60" s="8"/>
      <c r="K60" s="8"/>
      <c r="L60" s="8"/>
      <c r="M60" s="8"/>
      <c r="N60" s="8"/>
      <c r="O60" s="8"/>
    </row>
    <row r="61">
      <c r="A61" s="97" t="s">
        <v>106</v>
      </c>
      <c r="B61" s="25"/>
      <c r="C61" s="73"/>
      <c r="D61" s="25"/>
      <c r="E61" s="25"/>
      <c r="F61" s="8"/>
      <c r="G61" s="8"/>
      <c r="H61" s="8"/>
      <c r="I61" s="8"/>
      <c r="J61" s="8"/>
      <c r="K61" s="8"/>
      <c r="L61" s="8"/>
      <c r="M61" s="8"/>
      <c r="N61" s="8"/>
      <c r="O61" s="8"/>
    </row>
    <row r="62">
      <c r="A62" s="66"/>
      <c r="B62" s="8"/>
      <c r="C62" s="17"/>
      <c r="D62" s="8"/>
      <c r="E62" s="8"/>
      <c r="F62" s="8"/>
      <c r="G62" s="8"/>
      <c r="H62" s="8"/>
      <c r="I62" s="8"/>
      <c r="J62" s="8"/>
      <c r="K62" s="8"/>
      <c r="L62" s="8"/>
      <c r="M62" s="8"/>
      <c r="N62" s="8"/>
      <c r="O62" s="8"/>
    </row>
    <row r="63">
      <c r="A63" s="66"/>
      <c r="B63" s="8"/>
      <c r="C63" s="17"/>
      <c r="D63" s="8"/>
      <c r="E63" s="8"/>
      <c r="F63" s="8"/>
      <c r="G63" s="8"/>
      <c r="H63" s="8"/>
      <c r="I63" s="8"/>
      <c r="J63" s="8"/>
      <c r="K63" s="8"/>
      <c r="L63" s="8"/>
      <c r="M63" s="8"/>
      <c r="N63" s="8"/>
      <c r="O63" s="8"/>
    </row>
    <row r="64">
      <c r="A64" s="66"/>
      <c r="B64" s="8"/>
      <c r="C64" s="17"/>
      <c r="D64" s="8"/>
      <c r="E64" s="8"/>
      <c r="F64" s="8"/>
      <c r="G64" s="8"/>
      <c r="H64" s="8"/>
      <c r="I64" s="8"/>
      <c r="J64" s="8"/>
      <c r="K64" s="8"/>
      <c r="L64" s="8"/>
      <c r="M64" s="8"/>
      <c r="N64" s="8"/>
      <c r="O64" s="8"/>
    </row>
    <row r="65">
      <c r="A65" s="66"/>
      <c r="B65" s="8"/>
      <c r="C65" s="17"/>
      <c r="D65" s="8"/>
      <c r="E65" s="8"/>
      <c r="F65" s="8"/>
      <c r="G65" s="8"/>
      <c r="H65" s="8"/>
      <c r="I65" s="8"/>
      <c r="J65" s="8"/>
      <c r="K65" s="8"/>
      <c r="L65" s="8"/>
      <c r="M65" s="8"/>
      <c r="N65" s="8"/>
      <c r="O65" s="8"/>
    </row>
    <row r="66">
      <c r="A66" s="66"/>
      <c r="B66" s="8"/>
      <c r="C66" s="17"/>
      <c r="D66" s="8"/>
      <c r="E66" s="8"/>
      <c r="F66" s="8"/>
      <c r="G66" s="8"/>
      <c r="H66" s="8"/>
      <c r="I66" s="8"/>
      <c r="J66" s="8"/>
      <c r="K66" s="8"/>
      <c r="L66" s="8"/>
      <c r="M66" s="8"/>
      <c r="N66" s="8"/>
      <c r="O66" s="8"/>
    </row>
  </sheetData>
  <mergeCells count="11">
    <mergeCell ref="A6:A26"/>
    <mergeCell ref="A27:A31"/>
    <mergeCell ref="A37:D37"/>
    <mergeCell ref="A45:E45"/>
    <mergeCell ref="G1:I1"/>
    <mergeCell ref="J1:L1"/>
    <mergeCell ref="M1:O1"/>
    <mergeCell ref="B7:B9"/>
    <mergeCell ref="B10:B13"/>
    <mergeCell ref="B17:B20"/>
    <mergeCell ref="B21:B23"/>
  </mergeCells>
  <conditionalFormatting sqref="B3:D3 G4:O4">
    <cfRule type="cellIs" dxfId="14" priority="1" stopIfTrue="1" operator="equal">
      <formula>"Anu"</formula>
    </cfRule>
  </conditionalFormatting>
  <conditionalFormatting sqref="B3:D3 G4:O4">
    <cfRule type="cellIs" dxfId="0" priority="2" stopIfTrue="1" operator="equal">
      <formula>"Amrita"</formula>
    </cfRule>
  </conditionalFormatting>
  <conditionalFormatting sqref="B3:D3 G4:O4">
    <cfRule type="cellIs" dxfId="1" priority="3" stopIfTrue="1" operator="equal">
      <formula>"Soumya"</formula>
    </cfRule>
  </conditionalFormatting>
  <conditionalFormatting sqref="B3:D3 G4:O4">
    <cfRule type="cellIs" dxfId="2" priority="4" stopIfTrue="1" operator="equal">
      <formula>"Hannah"</formula>
    </cfRule>
  </conditionalFormatting>
  <conditionalFormatting sqref="B3:D3 G4:O4">
    <cfRule type="cellIs" dxfId="3" priority="5" stopIfTrue="1" operator="equal">
      <formula>"Naga Lakshmi"</formula>
    </cfRule>
  </conditionalFormatting>
  <conditionalFormatting sqref="B3:D3 G4:O4">
    <cfRule type="cellIs" dxfId="4" priority="6" stopIfTrue="1" operator="equal">
      <formula>"Nitin"</formula>
    </cfRule>
  </conditionalFormatting>
  <conditionalFormatting sqref="B3:D3 G4:O4">
    <cfRule type="cellIs" dxfId="15" priority="7" stopIfTrue="1" operator="equal">
      <formula>"Pankhuri"</formula>
    </cfRule>
  </conditionalFormatting>
  <conditionalFormatting sqref="B3:D3 G4:O4">
    <cfRule type="cellIs" dxfId="5" priority="8" stopIfTrue="1" operator="equal">
      <formula>"Ramakrishna"</formula>
    </cfRule>
  </conditionalFormatting>
  <conditionalFormatting sqref="B3:D3 G4:O4">
    <cfRule type="cellIs" dxfId="6" priority="9" stopIfTrue="1" operator="equal">
      <formula>"Abdul"</formula>
    </cfRule>
  </conditionalFormatting>
  <conditionalFormatting sqref="B3:D3 G4:O4">
    <cfRule type="cellIs" dxfId="7" priority="10" stopIfTrue="1" operator="equal">
      <formula>"Saheli"</formula>
    </cfRule>
  </conditionalFormatting>
  <conditionalFormatting sqref="B3:D3 G4:O4">
    <cfRule type="cellIs" dxfId="8" priority="11" stopIfTrue="1" operator="equal">
      <formula>"Prachi"</formula>
    </cfRule>
  </conditionalFormatting>
  <conditionalFormatting sqref="B3:D3 G4:O4">
    <cfRule type="cellIs" dxfId="9" priority="12" stopIfTrue="1" operator="equal">
      <formula>"Vishnu"</formula>
    </cfRule>
  </conditionalFormatting>
  <conditionalFormatting sqref="B3:D3 G4:O4">
    <cfRule type="cellIs" dxfId="10" priority="13" stopIfTrue="1" operator="equal">
      <formula>"Ivy"</formula>
    </cfRule>
  </conditionalFormatting>
  <conditionalFormatting sqref="B3:D3 G4:O4">
    <cfRule type="cellIs" dxfId="11" priority="14" stopIfTrue="1" operator="equal">
      <formula>"Rupal"</formula>
    </cfRule>
  </conditionalFormatting>
  <conditionalFormatting sqref="B3:D3 G4:O4">
    <cfRule type="cellIs" dxfId="25" priority="15" stopIfTrue="1" operator="equal">
      <formula>"Utkarsh"</formula>
    </cfRule>
  </conditionalFormatting>
  <conditionalFormatting sqref="G6:G31 H6:H9 I6:I14 J6:K31 L6:L14 M6:N31 O6:O14 H13:H31 I17:I31 L17:L31 O17:O31">
    <cfRule type="cellIs" dxfId="16" priority="16" stopIfTrue="1" operator="equal">
      <formula>"OK"</formula>
    </cfRule>
  </conditionalFormatting>
  <conditionalFormatting sqref="B3:D3 G4:O4 G6:G31 H6:H9 I6:I14 J6:K31 L6:L14 M6:N31 O6:O14 H13:H31 I17:I31 L17:L31 O17:O31">
    <cfRule type="cellIs" dxfId="18" priority="17" stopIfTrue="1" operator="equal">
      <formula>"Not Tested"</formula>
    </cfRule>
  </conditionalFormatting>
  <conditionalFormatting sqref="G6:G31 H6:H9 I6:I14 J6:K31 L6:L14 M6:N31 O6:O14 H13:H31 I17:I31 L17:L31 O17:O31">
    <cfRule type="cellIs" dxfId="19" priority="18" stopIfTrue="1" operator="equal">
      <formula>"N/A"</formula>
    </cfRule>
  </conditionalFormatting>
  <conditionalFormatting sqref="B2:D2 G3:O3">
    <cfRule type="containsText" dxfId="20" priority="19" stopIfTrue="1" operator="containsText" text="Incomplete">
      <formula>NOT(ISERROR(SEARCH(("Incomplete"),(B2))))</formula>
    </cfRule>
  </conditionalFormatting>
  <conditionalFormatting sqref="B2:D2 G3:O3">
    <cfRule type="containsText" dxfId="17" priority="20" stopIfTrue="1" operator="containsText" text="Broken">
      <formula>NOT(ISERROR(SEARCH(("Broken"),(B2))))</formula>
    </cfRule>
  </conditionalFormatting>
  <conditionalFormatting sqref="B2:D2 G3:O3">
    <cfRule type="containsText" dxfId="21" priority="21" stopIfTrue="1" operator="containsText" text="Some problems">
      <formula>NOT(ISERROR(SEARCH(("Some problems"),(B2))))</formula>
    </cfRule>
  </conditionalFormatting>
  <conditionalFormatting sqref="B2:D2 G3:O3">
    <cfRule type="containsText" dxfId="22" priority="22" stopIfTrue="1" operator="containsText" text="All OK">
      <formula>NOT(ISERROR(SEARCH(("All OK"),(B2))))</formula>
    </cfRule>
  </conditionalFormatting>
  <conditionalFormatting sqref="B2:D2 G3:O3">
    <cfRule type="containsText" dxfId="23" priority="23" stopIfTrue="1" operator="containsText" text="In Progress">
      <formula>NOT(ISERROR(SEARCH(("In Progress"),(B2))))</formula>
    </cfRule>
  </conditionalFormatting>
  <conditionalFormatting sqref="B2:D2 G3:O3">
    <cfRule type="containsText" dxfId="24" priority="24" stopIfTrue="1" operator="containsText" text="Not Tested">
      <formula>NOT(ISERROR(SEARCH(("Not Tested"),(B2))))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162</v>
      </c>
      <c r="B1" s="2" t="s">
        <v>108</v>
      </c>
      <c r="C1" s="108" t="s">
        <v>109</v>
      </c>
      <c r="D1" s="2" t="s">
        <v>110</v>
      </c>
      <c r="E1" s="3"/>
      <c r="F1" s="4" t="s">
        <v>0</v>
      </c>
      <c r="G1" s="5" t="s">
        <v>162</v>
      </c>
      <c r="H1" s="6"/>
      <c r="I1" s="7"/>
      <c r="J1" s="5" t="s">
        <v>163</v>
      </c>
      <c r="K1" s="6"/>
      <c r="L1" s="7"/>
    </row>
    <row r="2">
      <c r="A2" s="9"/>
      <c r="B2" s="10" t="s">
        <v>10</v>
      </c>
      <c r="C2" s="10" t="s">
        <v>164</v>
      </c>
      <c r="D2" s="10" t="s">
        <v>10</v>
      </c>
      <c r="E2" s="8"/>
      <c r="F2" s="11" t="s">
        <v>4</v>
      </c>
      <c r="G2" s="12" t="s">
        <v>5</v>
      </c>
      <c r="H2" s="12" t="s">
        <v>6</v>
      </c>
      <c r="I2" s="12" t="s">
        <v>7</v>
      </c>
      <c r="J2" s="12" t="s">
        <v>5</v>
      </c>
      <c r="K2" s="12" t="s">
        <v>6</v>
      </c>
      <c r="L2" s="12" t="s">
        <v>7</v>
      </c>
    </row>
    <row r="3">
      <c r="A3" s="13" t="s">
        <v>8</v>
      </c>
      <c r="B3" s="10" t="s">
        <v>14</v>
      </c>
      <c r="C3" s="10" t="s">
        <v>103</v>
      </c>
      <c r="D3" s="10" t="s">
        <v>13</v>
      </c>
      <c r="E3" s="8"/>
      <c r="F3" s="14" t="s">
        <v>9</v>
      </c>
      <c r="G3" s="15" t="s">
        <v>10</v>
      </c>
      <c r="H3" s="15" t="s">
        <v>12</v>
      </c>
      <c r="I3" s="15" t="s">
        <v>10</v>
      </c>
      <c r="J3" s="15" t="s">
        <v>10</v>
      </c>
      <c r="K3" s="15" t="s">
        <v>10</v>
      </c>
      <c r="L3" s="15" t="s">
        <v>11</v>
      </c>
    </row>
    <row r="4">
      <c r="A4" s="16"/>
      <c r="B4" s="8"/>
      <c r="C4" s="17"/>
      <c r="D4" s="8"/>
      <c r="E4" s="8"/>
      <c r="F4" s="18"/>
      <c r="G4" s="15" t="s">
        <v>14</v>
      </c>
      <c r="H4" s="15" t="s">
        <v>103</v>
      </c>
      <c r="I4" s="15" t="s">
        <v>13</v>
      </c>
      <c r="J4" s="15" t="s">
        <v>13</v>
      </c>
      <c r="K4" s="15" t="s">
        <v>14</v>
      </c>
      <c r="L4" s="15" t="s">
        <v>103</v>
      </c>
    </row>
    <row r="5">
      <c r="A5" s="19" t="s">
        <v>15</v>
      </c>
      <c r="B5" s="20" t="s">
        <v>16</v>
      </c>
      <c r="C5" s="20" t="s">
        <v>17</v>
      </c>
      <c r="D5" s="21" t="s">
        <v>18</v>
      </c>
      <c r="E5" s="21" t="s">
        <v>19</v>
      </c>
      <c r="F5" s="22" t="s">
        <v>20</v>
      </c>
      <c r="G5" s="23"/>
      <c r="H5" s="23"/>
      <c r="I5" s="23"/>
      <c r="J5" s="23"/>
      <c r="K5" s="23"/>
      <c r="L5" s="23"/>
    </row>
    <row r="6">
      <c r="A6" s="109"/>
      <c r="B6" s="110" t="s">
        <v>165</v>
      </c>
      <c r="C6" s="111" t="s">
        <v>166</v>
      </c>
      <c r="D6" s="8"/>
      <c r="E6" s="8"/>
      <c r="F6" s="112"/>
      <c r="G6" s="63"/>
      <c r="H6" s="28" t="s">
        <v>24</v>
      </c>
      <c r="I6" s="52"/>
      <c r="J6" s="63"/>
      <c r="K6" s="28"/>
      <c r="L6" s="52" t="s">
        <v>24</v>
      </c>
    </row>
    <row r="7">
      <c r="A7" s="56" t="s">
        <v>32</v>
      </c>
      <c r="B7" s="113" t="s">
        <v>167</v>
      </c>
      <c r="C7" s="114" t="s">
        <v>168</v>
      </c>
      <c r="D7" s="8"/>
      <c r="E7" s="8"/>
      <c r="F7" s="112"/>
      <c r="G7" s="63"/>
      <c r="H7" s="28" t="s">
        <v>24</v>
      </c>
      <c r="I7" s="52"/>
      <c r="J7" s="63"/>
      <c r="K7" s="28"/>
      <c r="L7" s="52" t="s">
        <v>24</v>
      </c>
    </row>
    <row r="8">
      <c r="A8" s="30"/>
      <c r="B8" s="115"/>
      <c r="C8" s="114" t="s">
        <v>169</v>
      </c>
      <c r="D8" s="8"/>
      <c r="E8" s="8"/>
      <c r="F8" s="112"/>
      <c r="G8" s="63"/>
      <c r="H8" s="28" t="s">
        <v>24</v>
      </c>
      <c r="I8" s="52"/>
      <c r="J8" s="63"/>
      <c r="K8" s="28"/>
      <c r="L8" s="52" t="s">
        <v>24</v>
      </c>
    </row>
    <row r="9">
      <c r="A9" s="30"/>
      <c r="B9" s="116"/>
      <c r="C9" s="114" t="s">
        <v>170</v>
      </c>
      <c r="D9" s="8"/>
      <c r="E9" s="8"/>
      <c r="F9" s="112"/>
      <c r="G9" s="63"/>
      <c r="H9" s="28" t="s">
        <v>24</v>
      </c>
      <c r="I9" s="52"/>
      <c r="J9" s="63"/>
      <c r="K9" s="28"/>
      <c r="L9" s="52" t="s">
        <v>24</v>
      </c>
    </row>
    <row r="10">
      <c r="A10" s="30"/>
      <c r="B10" s="117" t="s">
        <v>171</v>
      </c>
      <c r="C10" s="118" t="s">
        <v>172</v>
      </c>
      <c r="D10" s="8"/>
      <c r="E10" s="8"/>
      <c r="F10" s="112"/>
      <c r="G10" s="63"/>
      <c r="H10" s="28" t="s">
        <v>24</v>
      </c>
      <c r="I10" s="52"/>
      <c r="J10" s="63"/>
      <c r="K10" s="28"/>
      <c r="L10" s="52" t="s">
        <v>24</v>
      </c>
    </row>
    <row r="11">
      <c r="A11" s="30"/>
      <c r="B11" s="115"/>
      <c r="C11" s="60" t="s">
        <v>173</v>
      </c>
      <c r="D11" s="8"/>
      <c r="E11" s="8"/>
      <c r="F11" s="112"/>
      <c r="G11" s="63"/>
      <c r="H11" s="28" t="s">
        <v>24</v>
      </c>
      <c r="I11" s="52"/>
      <c r="J11" s="63"/>
      <c r="K11" s="28"/>
      <c r="L11" s="52" t="s">
        <v>24</v>
      </c>
    </row>
    <row r="12">
      <c r="A12" s="30"/>
      <c r="B12" s="115"/>
      <c r="C12" s="60" t="s">
        <v>174</v>
      </c>
      <c r="D12" s="8"/>
      <c r="E12" s="8"/>
      <c r="F12" s="112"/>
      <c r="G12" s="63"/>
      <c r="H12" s="28" t="s">
        <v>24</v>
      </c>
      <c r="I12" s="52"/>
      <c r="J12" s="63"/>
      <c r="K12" s="28"/>
      <c r="L12" s="52" t="s">
        <v>24</v>
      </c>
    </row>
    <row r="13">
      <c r="A13" s="30"/>
      <c r="B13" s="115"/>
      <c r="C13" s="60" t="s">
        <v>175</v>
      </c>
      <c r="D13" s="8"/>
      <c r="E13" s="8"/>
      <c r="F13" s="119" t="s">
        <v>176</v>
      </c>
      <c r="G13" s="63"/>
      <c r="H13" s="120" t="s">
        <v>176</v>
      </c>
      <c r="I13" s="120"/>
      <c r="J13" s="121"/>
      <c r="K13" s="28"/>
      <c r="L13" s="119" t="s">
        <v>176</v>
      </c>
    </row>
    <row r="14">
      <c r="A14" s="30"/>
      <c r="B14" s="115"/>
      <c r="C14" s="60" t="s">
        <v>177</v>
      </c>
      <c r="D14" s="8"/>
      <c r="E14" s="8"/>
      <c r="F14" s="119" t="s">
        <v>178</v>
      </c>
      <c r="G14" s="63"/>
      <c r="H14" s="120" t="s">
        <v>178</v>
      </c>
      <c r="I14" s="120"/>
      <c r="J14" s="121"/>
      <c r="K14" s="28"/>
      <c r="L14" s="119" t="s">
        <v>178</v>
      </c>
    </row>
    <row r="15">
      <c r="A15" s="30"/>
      <c r="B15" s="115"/>
      <c r="C15" s="60" t="s">
        <v>179</v>
      </c>
      <c r="D15" s="8"/>
      <c r="E15" s="8"/>
      <c r="F15" s="119"/>
      <c r="G15" s="63"/>
      <c r="H15" s="28" t="s">
        <v>24</v>
      </c>
      <c r="I15" s="122"/>
      <c r="J15" s="63"/>
      <c r="K15" s="28"/>
      <c r="L15" s="52" t="s">
        <v>24</v>
      </c>
    </row>
    <row r="16">
      <c r="A16" s="30"/>
      <c r="B16" s="115"/>
      <c r="C16" s="60" t="s">
        <v>180</v>
      </c>
      <c r="D16" s="8"/>
      <c r="E16" s="8"/>
      <c r="F16" s="119"/>
      <c r="G16" s="63"/>
      <c r="H16" s="28" t="s">
        <v>24</v>
      </c>
      <c r="I16" s="122"/>
      <c r="J16" s="63"/>
      <c r="K16" s="28"/>
      <c r="L16" s="52"/>
    </row>
    <row r="17">
      <c r="A17" s="30"/>
      <c r="B17" s="115"/>
      <c r="C17" s="60" t="s">
        <v>181</v>
      </c>
      <c r="D17" s="8"/>
      <c r="E17" s="8"/>
      <c r="F17" s="119" t="s">
        <v>182</v>
      </c>
      <c r="G17" s="63"/>
      <c r="H17" s="28" t="s">
        <v>24</v>
      </c>
      <c r="I17" s="52"/>
      <c r="J17" s="63"/>
      <c r="K17" s="28"/>
      <c r="L17" s="52" t="s">
        <v>24</v>
      </c>
    </row>
    <row r="18">
      <c r="A18" s="30"/>
      <c r="B18" s="115"/>
      <c r="C18" s="60" t="s">
        <v>183</v>
      </c>
      <c r="D18" s="8"/>
      <c r="E18" s="8"/>
      <c r="F18" s="119" t="s">
        <v>184</v>
      </c>
      <c r="G18" s="63"/>
      <c r="H18" s="28" t="s">
        <v>24</v>
      </c>
      <c r="I18" s="52"/>
      <c r="J18" s="63"/>
      <c r="K18" s="28"/>
      <c r="L18" s="52" t="s">
        <v>24</v>
      </c>
    </row>
    <row r="19">
      <c r="A19" s="30"/>
      <c r="B19" s="115"/>
      <c r="C19" s="60" t="s">
        <v>185</v>
      </c>
      <c r="D19" s="8"/>
      <c r="E19" s="8"/>
      <c r="F19" s="119" t="s">
        <v>186</v>
      </c>
      <c r="G19" s="63"/>
      <c r="H19" s="14" t="s">
        <v>186</v>
      </c>
      <c r="I19" s="52"/>
      <c r="J19" s="63"/>
      <c r="K19" s="28"/>
      <c r="L19" s="52"/>
    </row>
    <row r="20">
      <c r="A20" s="30"/>
      <c r="B20" s="115"/>
      <c r="C20" s="60" t="s">
        <v>187</v>
      </c>
      <c r="D20" s="8"/>
      <c r="E20" s="8"/>
      <c r="F20" s="119" t="s">
        <v>188</v>
      </c>
      <c r="G20" s="63"/>
      <c r="H20" s="119" t="s">
        <v>188</v>
      </c>
      <c r="I20" s="52"/>
      <c r="J20" s="63"/>
      <c r="K20" s="28"/>
      <c r="L20" s="52"/>
    </row>
    <row r="21">
      <c r="A21" s="30"/>
      <c r="B21" s="115"/>
      <c r="C21" s="60" t="s">
        <v>189</v>
      </c>
      <c r="D21" s="8"/>
      <c r="E21" s="8"/>
      <c r="F21" s="119" t="s">
        <v>190</v>
      </c>
      <c r="G21" s="63"/>
      <c r="H21" s="28" t="s">
        <v>24</v>
      </c>
      <c r="I21" s="52"/>
      <c r="J21" s="63"/>
      <c r="K21" s="28"/>
      <c r="L21" s="52" t="s">
        <v>24</v>
      </c>
    </row>
    <row r="22">
      <c r="A22" s="30"/>
      <c r="B22" s="115"/>
      <c r="C22" s="118" t="s">
        <v>191</v>
      </c>
      <c r="D22" s="8"/>
      <c r="E22" s="8"/>
      <c r="F22" s="112" t="s">
        <v>192</v>
      </c>
      <c r="G22" s="63"/>
      <c r="H22" s="28" t="s">
        <v>24</v>
      </c>
      <c r="I22" s="123"/>
      <c r="J22" s="63"/>
      <c r="K22" s="28"/>
      <c r="L22" s="123"/>
    </row>
    <row r="23">
      <c r="A23" s="30"/>
      <c r="B23" s="116"/>
      <c r="C23" s="118" t="s">
        <v>193</v>
      </c>
      <c r="D23" s="8"/>
      <c r="E23" s="8"/>
      <c r="F23" s="124" t="s">
        <v>194</v>
      </c>
      <c r="G23" s="63"/>
      <c r="H23" s="28" t="s">
        <v>24</v>
      </c>
      <c r="I23" s="28"/>
      <c r="J23" s="63"/>
      <c r="K23" s="28"/>
      <c r="L23" s="28" t="s">
        <v>24</v>
      </c>
    </row>
    <row r="24">
      <c r="A24" s="30"/>
      <c r="B24" s="31" t="s">
        <v>195</v>
      </c>
      <c r="C24" s="118" t="s">
        <v>196</v>
      </c>
      <c r="D24" s="8"/>
      <c r="E24" s="8"/>
      <c r="F24" s="8"/>
      <c r="G24" s="63"/>
      <c r="H24" s="28" t="s">
        <v>24</v>
      </c>
      <c r="I24" s="28"/>
      <c r="J24" s="63"/>
      <c r="K24" s="28"/>
      <c r="L24" s="28" t="s">
        <v>24</v>
      </c>
    </row>
    <row r="25">
      <c r="A25" s="30"/>
      <c r="B25" s="30"/>
      <c r="C25" s="125" t="s">
        <v>197</v>
      </c>
      <c r="D25" s="8"/>
      <c r="E25" s="8"/>
      <c r="F25" s="126" t="s">
        <v>198</v>
      </c>
      <c r="G25" s="63"/>
      <c r="H25" s="28" t="s">
        <v>24</v>
      </c>
      <c r="I25" s="28"/>
      <c r="J25" s="63"/>
      <c r="K25" s="28"/>
      <c r="L25" s="28" t="s">
        <v>24</v>
      </c>
    </row>
    <row r="26">
      <c r="A26" s="30"/>
      <c r="B26" s="30"/>
      <c r="C26" s="125" t="s">
        <v>199</v>
      </c>
      <c r="D26" s="8"/>
      <c r="E26" s="8"/>
      <c r="F26" s="127" t="s">
        <v>200</v>
      </c>
      <c r="G26" s="63"/>
      <c r="H26" s="28" t="s">
        <v>24</v>
      </c>
      <c r="I26" s="28"/>
      <c r="J26" s="63"/>
      <c r="K26" s="28"/>
      <c r="L26" s="28" t="s">
        <v>24</v>
      </c>
    </row>
    <row r="27">
      <c r="A27" s="30"/>
      <c r="B27" s="30"/>
      <c r="C27" s="125" t="s">
        <v>201</v>
      </c>
      <c r="D27" s="8"/>
      <c r="E27" s="8"/>
      <c r="F27" s="8"/>
      <c r="G27" s="63"/>
      <c r="H27" s="28" t="s">
        <v>24</v>
      </c>
      <c r="I27" s="28"/>
      <c r="J27" s="63"/>
      <c r="K27" s="28"/>
      <c r="L27" s="28" t="s">
        <v>24</v>
      </c>
    </row>
    <row r="28">
      <c r="A28" s="30"/>
      <c r="B28" s="30"/>
      <c r="C28" s="125" t="s">
        <v>202</v>
      </c>
      <c r="D28" s="8"/>
      <c r="E28" s="8"/>
      <c r="F28" s="8"/>
      <c r="G28" s="63"/>
      <c r="H28" s="28" t="s">
        <v>24</v>
      </c>
      <c r="I28" s="28"/>
      <c r="J28" s="63"/>
      <c r="K28" s="28"/>
      <c r="L28" s="28" t="s">
        <v>24</v>
      </c>
    </row>
    <row r="29">
      <c r="A29" s="30"/>
      <c r="B29" s="30"/>
      <c r="C29" s="128" t="s">
        <v>203</v>
      </c>
      <c r="D29" s="8"/>
      <c r="E29" s="8"/>
      <c r="F29" s="126" t="s">
        <v>204</v>
      </c>
      <c r="G29" s="63"/>
      <c r="H29" s="28" t="s">
        <v>24</v>
      </c>
      <c r="I29" s="28"/>
      <c r="J29" s="63"/>
      <c r="K29" s="28"/>
      <c r="L29" s="28"/>
    </row>
    <row r="30">
      <c r="A30" s="30"/>
      <c r="B30" s="30"/>
      <c r="C30" s="128" t="s">
        <v>205</v>
      </c>
      <c r="D30" s="8"/>
      <c r="E30" s="8"/>
      <c r="F30" s="126" t="s">
        <v>206</v>
      </c>
      <c r="G30" s="63"/>
      <c r="H30" s="28" t="s">
        <v>24</v>
      </c>
      <c r="I30" s="28"/>
      <c r="J30" s="63"/>
      <c r="K30" s="28"/>
      <c r="L30" s="28"/>
    </row>
    <row r="31">
      <c r="A31" s="30"/>
      <c r="B31" s="30"/>
      <c r="C31" s="128" t="s">
        <v>207</v>
      </c>
      <c r="D31" s="8"/>
      <c r="E31" s="8"/>
      <c r="F31" s="126" t="s">
        <v>208</v>
      </c>
      <c r="G31" s="63"/>
      <c r="H31" s="28" t="s">
        <v>24</v>
      </c>
      <c r="I31" s="28"/>
      <c r="J31" s="63"/>
      <c r="K31" s="28"/>
      <c r="L31" s="28" t="s">
        <v>24</v>
      </c>
    </row>
    <row r="32">
      <c r="A32" s="30"/>
      <c r="B32" s="30"/>
      <c r="C32" s="129" t="s">
        <v>209</v>
      </c>
      <c r="D32" s="130"/>
      <c r="E32" s="8"/>
      <c r="F32" s="8"/>
      <c r="G32" s="63"/>
      <c r="H32" s="28" t="s">
        <v>24</v>
      </c>
      <c r="I32" s="28"/>
      <c r="J32" s="63"/>
      <c r="K32" s="28"/>
      <c r="L32" s="28" t="s">
        <v>24</v>
      </c>
    </row>
    <row r="33">
      <c r="A33" s="30"/>
      <c r="B33" s="30"/>
      <c r="C33" s="129" t="s">
        <v>210</v>
      </c>
      <c r="D33" s="131"/>
      <c r="E33" s="8"/>
      <c r="F33" s="18"/>
      <c r="G33" s="63"/>
      <c r="H33" s="28" t="s">
        <v>24</v>
      </c>
      <c r="I33" s="28"/>
      <c r="J33" s="63"/>
      <c r="K33" s="28"/>
      <c r="L33" s="28" t="s">
        <v>24</v>
      </c>
    </row>
    <row r="34">
      <c r="A34" s="30"/>
      <c r="B34" s="30"/>
      <c r="C34" s="129" t="s">
        <v>211</v>
      </c>
      <c r="D34" s="131"/>
      <c r="E34" s="8"/>
      <c r="F34" s="59" t="s">
        <v>212</v>
      </c>
      <c r="G34" s="63"/>
      <c r="H34" s="28" t="s">
        <v>24</v>
      </c>
      <c r="I34" s="28"/>
      <c r="J34" s="63"/>
      <c r="K34" s="63"/>
      <c r="L34" s="28" t="s">
        <v>24</v>
      </c>
    </row>
    <row r="35">
      <c r="A35" s="30"/>
      <c r="B35" s="38"/>
      <c r="C35" s="125" t="s">
        <v>213</v>
      </c>
      <c r="D35" s="8"/>
      <c r="E35" s="8"/>
      <c r="F35" s="18"/>
      <c r="G35" s="63"/>
      <c r="H35" s="132" t="s">
        <v>24</v>
      </c>
      <c r="I35" s="28"/>
      <c r="J35" s="63"/>
      <c r="K35" s="112"/>
      <c r="L35" s="28"/>
    </row>
    <row r="36">
      <c r="A36" s="30"/>
      <c r="B36" s="133" t="s">
        <v>214</v>
      </c>
      <c r="C36" s="125" t="s">
        <v>215</v>
      </c>
      <c r="D36" s="8"/>
      <c r="E36" s="8"/>
      <c r="F36" s="18"/>
      <c r="G36" s="63"/>
      <c r="H36" s="28" t="s">
        <v>24</v>
      </c>
      <c r="I36" s="28"/>
      <c r="J36" s="63"/>
      <c r="K36" s="63"/>
      <c r="L36" s="28" t="s">
        <v>24</v>
      </c>
    </row>
    <row r="37">
      <c r="A37" s="30"/>
      <c r="B37" s="30"/>
      <c r="C37" s="118" t="s">
        <v>216</v>
      </c>
      <c r="D37" s="8"/>
      <c r="E37" s="8"/>
      <c r="F37" s="59" t="s">
        <v>217</v>
      </c>
      <c r="G37" s="63"/>
      <c r="H37" s="28" t="s">
        <v>24</v>
      </c>
      <c r="I37" s="28"/>
      <c r="J37" s="63"/>
      <c r="K37" s="63"/>
      <c r="L37" s="28" t="s">
        <v>24</v>
      </c>
    </row>
    <row r="38">
      <c r="A38" s="30"/>
      <c r="B38" s="30"/>
      <c r="C38" s="60" t="s">
        <v>173</v>
      </c>
      <c r="D38" s="8"/>
      <c r="E38" s="8"/>
      <c r="F38" s="59" t="s">
        <v>218</v>
      </c>
      <c r="G38" s="63"/>
      <c r="H38" s="59" t="s">
        <v>218</v>
      </c>
      <c r="I38" s="28"/>
      <c r="J38" s="63"/>
      <c r="K38" s="63"/>
      <c r="L38" s="28" t="s">
        <v>218</v>
      </c>
    </row>
    <row r="39">
      <c r="A39" s="30"/>
      <c r="B39" s="30"/>
      <c r="C39" s="125" t="s">
        <v>219</v>
      </c>
      <c r="D39" s="8"/>
      <c r="E39" s="8"/>
      <c r="F39" s="59" t="s">
        <v>220</v>
      </c>
      <c r="G39" s="63"/>
      <c r="H39" s="28" t="s">
        <v>24</v>
      </c>
      <c r="I39" s="28"/>
      <c r="J39" s="63"/>
      <c r="K39" s="63"/>
      <c r="L39" s="28" t="s">
        <v>220</v>
      </c>
    </row>
    <row r="40">
      <c r="A40" s="30"/>
      <c r="B40" s="30"/>
      <c r="C40" s="134" t="s">
        <v>221</v>
      </c>
      <c r="D40" s="8"/>
      <c r="E40" s="8"/>
      <c r="F40" s="18"/>
      <c r="G40" s="63"/>
      <c r="H40" s="28" t="s">
        <v>24</v>
      </c>
      <c r="I40" s="28"/>
      <c r="J40" s="63"/>
      <c r="K40" s="63"/>
      <c r="L40" s="28" t="s">
        <v>24</v>
      </c>
    </row>
    <row r="41">
      <c r="A41" s="30"/>
      <c r="B41" s="30"/>
      <c r="C41" s="135" t="s">
        <v>222</v>
      </c>
      <c r="D41" s="8"/>
      <c r="E41" s="8"/>
      <c r="F41" s="18"/>
      <c r="G41" s="63"/>
      <c r="H41" s="28" t="s">
        <v>24</v>
      </c>
      <c r="I41" s="28"/>
      <c r="J41" s="63"/>
      <c r="K41" s="63"/>
      <c r="L41" s="28" t="s">
        <v>24</v>
      </c>
    </row>
    <row r="42">
      <c r="A42" s="30"/>
      <c r="B42" s="30"/>
      <c r="C42" s="136" t="s">
        <v>223</v>
      </c>
      <c r="D42" s="8"/>
      <c r="E42" s="8"/>
      <c r="F42" s="18"/>
      <c r="G42" s="63"/>
      <c r="H42" s="28" t="s">
        <v>24</v>
      </c>
      <c r="I42" s="28"/>
      <c r="J42" s="63"/>
      <c r="K42" s="63"/>
      <c r="L42" s="28" t="s">
        <v>24</v>
      </c>
    </row>
    <row r="43">
      <c r="A43" s="30"/>
      <c r="B43" s="30"/>
      <c r="C43" s="137" t="s">
        <v>224</v>
      </c>
      <c r="D43" s="8"/>
      <c r="E43" s="8"/>
      <c r="F43" s="59" t="s">
        <v>225</v>
      </c>
      <c r="G43" s="63"/>
      <c r="H43" s="138" t="s">
        <v>225</v>
      </c>
      <c r="I43" s="28"/>
      <c r="J43" s="63"/>
      <c r="K43" s="63"/>
      <c r="L43" s="4"/>
    </row>
    <row r="44">
      <c r="A44" s="30"/>
      <c r="B44" s="30"/>
      <c r="C44" s="137" t="s">
        <v>226</v>
      </c>
      <c r="D44" s="8"/>
      <c r="E44" s="8"/>
      <c r="F44" s="59" t="s">
        <v>227</v>
      </c>
      <c r="G44" s="63"/>
      <c r="H44" s="28" t="s">
        <v>24</v>
      </c>
      <c r="I44" s="28"/>
      <c r="J44" s="63"/>
      <c r="K44" s="63"/>
      <c r="L44" s="4" t="s">
        <v>24</v>
      </c>
    </row>
    <row r="45">
      <c r="A45" s="30"/>
      <c r="B45" s="30"/>
      <c r="C45" s="137" t="s">
        <v>228</v>
      </c>
      <c r="D45" s="8"/>
      <c r="E45" s="8"/>
      <c r="F45" s="59" t="s">
        <v>229</v>
      </c>
      <c r="G45" s="63"/>
      <c r="H45" s="28" t="s">
        <v>24</v>
      </c>
      <c r="I45" s="28"/>
      <c r="J45" s="63"/>
      <c r="K45" s="63"/>
      <c r="L45" s="28"/>
    </row>
    <row r="46">
      <c r="A46" s="30"/>
      <c r="B46" s="30"/>
      <c r="C46" s="125" t="s">
        <v>230</v>
      </c>
      <c r="D46" s="8"/>
      <c r="E46" s="8"/>
      <c r="F46" s="18"/>
      <c r="G46" s="63"/>
      <c r="H46" s="28" t="s">
        <v>24</v>
      </c>
      <c r="I46" s="28"/>
      <c r="J46" s="63"/>
      <c r="K46" s="63"/>
      <c r="L46" s="28" t="s">
        <v>24</v>
      </c>
    </row>
    <row r="47">
      <c r="A47" s="30"/>
      <c r="B47" s="30"/>
      <c r="C47" s="139" t="s">
        <v>201</v>
      </c>
      <c r="D47" s="8"/>
      <c r="E47" s="8"/>
      <c r="F47" s="18"/>
      <c r="G47" s="63"/>
      <c r="H47" s="28" t="s">
        <v>24</v>
      </c>
      <c r="I47" s="28"/>
      <c r="J47" s="63"/>
      <c r="K47" s="63"/>
      <c r="L47" s="28" t="s">
        <v>24</v>
      </c>
    </row>
    <row r="48">
      <c r="A48" s="30"/>
      <c r="B48" s="30"/>
      <c r="C48" s="140" t="s">
        <v>202</v>
      </c>
      <c r="D48" s="8"/>
      <c r="E48" s="8"/>
      <c r="F48" s="18"/>
      <c r="G48" s="63"/>
      <c r="H48" s="28" t="s">
        <v>24</v>
      </c>
      <c r="I48" s="28"/>
      <c r="J48" s="63"/>
      <c r="K48" s="63"/>
      <c r="L48" s="28" t="s">
        <v>24</v>
      </c>
    </row>
    <row r="49">
      <c r="A49" s="30"/>
      <c r="B49" s="30"/>
      <c r="C49" s="60" t="s">
        <v>231</v>
      </c>
      <c r="D49" s="8"/>
      <c r="E49" s="8"/>
      <c r="F49" s="18"/>
      <c r="G49" s="63"/>
      <c r="H49" s="28" t="s">
        <v>24</v>
      </c>
      <c r="I49" s="28"/>
      <c r="J49" s="63"/>
      <c r="K49" s="63"/>
      <c r="L49" s="28" t="s">
        <v>24</v>
      </c>
    </row>
    <row r="50">
      <c r="A50" s="30"/>
      <c r="B50" s="38"/>
      <c r="C50" s="60" t="s">
        <v>232</v>
      </c>
      <c r="D50" s="8"/>
      <c r="E50" s="8"/>
      <c r="F50" s="18"/>
      <c r="G50" s="63"/>
      <c r="H50" s="28" t="s">
        <v>24</v>
      </c>
      <c r="I50" s="28"/>
      <c r="J50" s="63"/>
      <c r="K50" s="63"/>
      <c r="L50" s="28" t="s">
        <v>24</v>
      </c>
    </row>
    <row r="51">
      <c r="A51" s="30"/>
      <c r="B51" s="31" t="s">
        <v>233</v>
      </c>
      <c r="C51" s="60" t="s">
        <v>172</v>
      </c>
      <c r="D51" s="8"/>
      <c r="E51" s="8"/>
      <c r="F51" s="18"/>
      <c r="G51" s="63"/>
      <c r="H51" s="28" t="s">
        <v>24</v>
      </c>
      <c r="I51" s="63"/>
      <c r="J51" s="63"/>
      <c r="K51" s="63"/>
      <c r="L51" s="63"/>
    </row>
    <row r="52">
      <c r="A52" s="30"/>
      <c r="B52" s="30"/>
      <c r="C52" s="60" t="s">
        <v>234</v>
      </c>
      <c r="D52" s="8"/>
      <c r="E52" s="8"/>
      <c r="F52" s="18"/>
      <c r="G52" s="63"/>
      <c r="H52" s="28" t="s">
        <v>24</v>
      </c>
      <c r="I52" s="28"/>
      <c r="J52" s="63"/>
      <c r="K52" s="63"/>
      <c r="L52" s="28" t="s">
        <v>24</v>
      </c>
    </row>
    <row r="53">
      <c r="A53" s="30"/>
      <c r="B53" s="30"/>
      <c r="C53" s="60" t="s">
        <v>235</v>
      </c>
      <c r="D53" s="8"/>
      <c r="E53" s="8"/>
      <c r="F53" s="59" t="s">
        <v>236</v>
      </c>
      <c r="G53" s="63"/>
      <c r="H53" s="28" t="s">
        <v>24</v>
      </c>
      <c r="I53" s="28"/>
      <c r="J53" s="63"/>
      <c r="K53" s="63"/>
      <c r="L53" s="4" t="s">
        <v>236</v>
      </c>
    </row>
    <row r="54">
      <c r="A54" s="30"/>
      <c r="B54" s="30"/>
      <c r="C54" s="60" t="s">
        <v>237</v>
      </c>
      <c r="D54" s="8"/>
      <c r="E54" s="8"/>
      <c r="F54" s="18"/>
      <c r="G54" s="63"/>
      <c r="H54" s="28" t="s">
        <v>24</v>
      </c>
      <c r="I54" s="28"/>
      <c r="J54" s="63"/>
      <c r="K54" s="63"/>
      <c r="L54" s="28" t="s">
        <v>24</v>
      </c>
    </row>
    <row r="55">
      <c r="A55" s="30"/>
      <c r="B55" s="30"/>
      <c r="C55" s="60" t="s">
        <v>238</v>
      </c>
      <c r="D55" s="8"/>
      <c r="E55" s="8"/>
      <c r="F55" s="18"/>
      <c r="G55" s="63"/>
      <c r="H55" s="28" t="s">
        <v>74</v>
      </c>
      <c r="I55" s="28"/>
      <c r="J55" s="63"/>
      <c r="K55" s="63"/>
      <c r="L55" s="28" t="s">
        <v>74</v>
      </c>
    </row>
    <row r="56">
      <c r="A56" s="30"/>
      <c r="B56" s="30"/>
      <c r="C56" s="60" t="s">
        <v>239</v>
      </c>
      <c r="D56" s="8"/>
      <c r="E56" s="8"/>
      <c r="F56" s="18"/>
      <c r="G56" s="63"/>
      <c r="H56" s="28" t="s">
        <v>24</v>
      </c>
      <c r="I56" s="28"/>
      <c r="J56" s="63"/>
      <c r="K56" s="63"/>
      <c r="L56" s="28" t="s">
        <v>24</v>
      </c>
    </row>
    <row r="57">
      <c r="A57" s="30"/>
      <c r="B57" s="30"/>
      <c r="C57" s="60" t="s">
        <v>240</v>
      </c>
      <c r="D57" s="8"/>
      <c r="E57" s="8"/>
      <c r="F57" s="18"/>
      <c r="G57" s="63"/>
      <c r="H57" s="28" t="s">
        <v>24</v>
      </c>
      <c r="I57" s="28"/>
      <c r="J57" s="63"/>
      <c r="K57" s="63"/>
      <c r="L57" s="28" t="s">
        <v>24</v>
      </c>
    </row>
    <row r="58">
      <c r="A58" s="30"/>
      <c r="B58" s="30"/>
      <c r="C58" s="60" t="s">
        <v>241</v>
      </c>
      <c r="D58" s="8"/>
      <c r="E58" s="8"/>
      <c r="F58" s="59" t="s">
        <v>176</v>
      </c>
      <c r="G58" s="63"/>
      <c r="H58" s="141" t="s">
        <v>176</v>
      </c>
      <c r="I58" s="28"/>
      <c r="J58" s="63"/>
      <c r="K58" s="63"/>
      <c r="L58" s="28" t="s">
        <v>176</v>
      </c>
    </row>
    <row r="59">
      <c r="A59" s="30"/>
      <c r="B59" s="30"/>
      <c r="C59" s="60" t="s">
        <v>242</v>
      </c>
      <c r="D59" s="8"/>
      <c r="E59" s="8"/>
      <c r="F59" s="18"/>
      <c r="G59" s="63"/>
      <c r="H59" s="28" t="s">
        <v>24</v>
      </c>
      <c r="I59" s="28"/>
      <c r="J59" s="63"/>
      <c r="K59" s="63"/>
      <c r="L59" s="28" t="s">
        <v>24</v>
      </c>
    </row>
    <row r="60">
      <c r="A60" s="30"/>
      <c r="B60" s="30"/>
      <c r="C60" s="60" t="s">
        <v>243</v>
      </c>
      <c r="D60" s="8"/>
      <c r="E60" s="8"/>
      <c r="G60" s="63"/>
      <c r="H60" s="28" t="s">
        <v>24</v>
      </c>
      <c r="I60" s="142"/>
      <c r="J60" s="63"/>
      <c r="K60" s="63"/>
      <c r="L60" s="103" t="s">
        <v>24</v>
      </c>
    </row>
    <row r="61">
      <c r="A61" s="30"/>
      <c r="B61" s="30"/>
      <c r="C61" s="60" t="s">
        <v>244</v>
      </c>
      <c r="D61" s="8"/>
      <c r="E61" s="8"/>
      <c r="F61" s="59" t="s">
        <v>178</v>
      </c>
      <c r="G61" s="63"/>
      <c r="H61" s="141" t="s">
        <v>178</v>
      </c>
      <c r="I61" s="28"/>
      <c r="J61" s="63"/>
      <c r="K61" s="63"/>
      <c r="L61" s="28" t="s">
        <v>178</v>
      </c>
    </row>
    <row r="62">
      <c r="A62" s="30"/>
      <c r="B62" s="30"/>
      <c r="C62" s="60" t="s">
        <v>245</v>
      </c>
      <c r="D62" s="8"/>
      <c r="E62" s="8"/>
      <c r="F62" s="18"/>
      <c r="G62" s="63"/>
      <c r="H62" s="28" t="s">
        <v>24</v>
      </c>
      <c r="I62" s="28"/>
      <c r="J62" s="63"/>
      <c r="K62" s="63"/>
      <c r="L62" s="28" t="s">
        <v>24</v>
      </c>
    </row>
    <row r="63">
      <c r="A63" s="30"/>
      <c r="B63" s="30"/>
      <c r="C63" s="60" t="s">
        <v>246</v>
      </c>
      <c r="D63" s="8"/>
      <c r="E63" s="8"/>
      <c r="F63" s="59" t="s">
        <v>247</v>
      </c>
      <c r="G63" s="63"/>
      <c r="H63" s="138" t="s">
        <v>247</v>
      </c>
      <c r="I63" s="28"/>
      <c r="J63" s="63"/>
      <c r="K63" s="63"/>
      <c r="L63" s="28" t="s">
        <v>24</v>
      </c>
    </row>
    <row r="64">
      <c r="A64" s="30"/>
      <c r="B64" s="30"/>
      <c r="C64" s="60" t="s">
        <v>248</v>
      </c>
      <c r="D64" s="8"/>
      <c r="E64" s="8"/>
      <c r="F64" s="18"/>
      <c r="G64" s="63"/>
      <c r="H64" s="28" t="s">
        <v>24</v>
      </c>
      <c r="I64" s="101"/>
      <c r="J64" s="63"/>
      <c r="K64" s="63"/>
      <c r="L64" s="101" t="s">
        <v>249</v>
      </c>
    </row>
    <row r="65">
      <c r="A65" s="30"/>
      <c r="B65" s="30"/>
      <c r="C65" s="60" t="s">
        <v>250</v>
      </c>
      <c r="D65" s="8"/>
      <c r="E65" s="8"/>
      <c r="F65" s="18"/>
      <c r="G65" s="63"/>
      <c r="H65" s="28" t="s">
        <v>24</v>
      </c>
      <c r="I65" s="28"/>
      <c r="J65" s="63"/>
      <c r="K65" s="63"/>
      <c r="L65" s="28" t="s">
        <v>24</v>
      </c>
    </row>
    <row r="66">
      <c r="A66" s="30"/>
      <c r="B66" s="38"/>
      <c r="C66" s="60" t="s">
        <v>251</v>
      </c>
      <c r="D66" s="8"/>
      <c r="E66" s="8"/>
      <c r="F66" s="18"/>
      <c r="G66" s="63"/>
      <c r="H66" s="28" t="s">
        <v>24</v>
      </c>
      <c r="I66" s="28"/>
      <c r="J66" s="63"/>
      <c r="K66" s="63"/>
      <c r="L66" s="28" t="s">
        <v>24</v>
      </c>
    </row>
    <row r="67">
      <c r="A67" s="30"/>
      <c r="B67" s="31" t="s">
        <v>252</v>
      </c>
      <c r="C67" s="60" t="s">
        <v>253</v>
      </c>
      <c r="D67" s="8"/>
      <c r="E67" s="8"/>
      <c r="F67" s="59" t="s">
        <v>254</v>
      </c>
      <c r="G67" s="63"/>
      <c r="H67" s="28" t="s">
        <v>24</v>
      </c>
      <c r="I67" s="28"/>
      <c r="J67" s="63"/>
      <c r="K67" s="63"/>
      <c r="L67" s="28" t="s">
        <v>24</v>
      </c>
    </row>
    <row r="68">
      <c r="A68" s="30"/>
      <c r="B68" s="30"/>
      <c r="C68" s="60" t="s">
        <v>255</v>
      </c>
      <c r="D68" s="8"/>
      <c r="E68" s="8"/>
      <c r="F68" s="18"/>
      <c r="G68" s="63"/>
      <c r="H68" s="28" t="s">
        <v>24</v>
      </c>
      <c r="I68" s="28"/>
      <c r="J68" s="63"/>
      <c r="K68" s="63"/>
      <c r="L68" s="28" t="s">
        <v>24</v>
      </c>
    </row>
    <row r="69">
      <c r="A69" s="30"/>
      <c r="B69" s="30"/>
      <c r="C69" s="60" t="s">
        <v>256</v>
      </c>
      <c r="D69" s="8"/>
      <c r="E69" s="8"/>
      <c r="F69" s="18"/>
      <c r="G69" s="63"/>
      <c r="H69" s="28" t="s">
        <v>24</v>
      </c>
      <c r="I69" s="28"/>
      <c r="J69" s="63"/>
      <c r="K69" s="63"/>
      <c r="L69" s="28"/>
    </row>
    <row r="70">
      <c r="A70" s="30"/>
      <c r="B70" s="30"/>
      <c r="C70" s="60" t="s">
        <v>257</v>
      </c>
      <c r="D70" s="8"/>
      <c r="E70" s="8"/>
      <c r="F70" s="18"/>
      <c r="G70" s="63"/>
      <c r="H70" s="28" t="s">
        <v>24</v>
      </c>
      <c r="I70" s="28"/>
      <c r="J70" s="63"/>
      <c r="K70" s="63"/>
      <c r="L70" s="28" t="s">
        <v>24</v>
      </c>
    </row>
    <row r="71">
      <c r="A71" s="30"/>
      <c r="B71" s="30"/>
      <c r="C71" s="143" t="s">
        <v>256</v>
      </c>
      <c r="D71" s="8"/>
      <c r="E71" s="8"/>
      <c r="F71" s="59"/>
      <c r="G71" s="63"/>
      <c r="H71" s="144" t="s">
        <v>24</v>
      </c>
      <c r="I71" s="101"/>
      <c r="J71" s="63"/>
      <c r="K71" s="63"/>
      <c r="L71" s="59"/>
    </row>
    <row r="72">
      <c r="A72" s="30"/>
      <c r="B72" s="30"/>
      <c r="C72" s="60" t="s">
        <v>258</v>
      </c>
      <c r="D72" s="8"/>
      <c r="E72" s="8"/>
      <c r="F72" s="59" t="s">
        <v>259</v>
      </c>
      <c r="G72" s="63"/>
      <c r="H72" s="145" t="s">
        <v>24</v>
      </c>
      <c r="I72" s="101"/>
      <c r="J72" s="63"/>
      <c r="K72" s="63"/>
      <c r="L72" s="59" t="s">
        <v>259</v>
      </c>
    </row>
    <row r="73">
      <c r="A73" s="30"/>
      <c r="B73" s="30"/>
      <c r="C73" s="143" t="s">
        <v>260</v>
      </c>
      <c r="D73" s="8"/>
      <c r="E73" s="8"/>
      <c r="F73" s="59"/>
      <c r="G73" s="63"/>
      <c r="H73" s="144" t="s">
        <v>24</v>
      </c>
      <c r="I73" s="28"/>
      <c r="J73" s="63"/>
      <c r="K73" s="63"/>
      <c r="L73" s="146"/>
    </row>
    <row r="74">
      <c r="A74" s="30"/>
      <c r="B74" s="30"/>
      <c r="C74" s="143" t="s">
        <v>261</v>
      </c>
      <c r="D74" s="8"/>
      <c r="E74" s="8"/>
      <c r="F74" s="59"/>
      <c r="G74" s="63"/>
      <c r="H74" s="144" t="s">
        <v>24</v>
      </c>
      <c r="I74" s="28"/>
      <c r="J74" s="63"/>
      <c r="K74" s="63"/>
      <c r="L74" s="146"/>
    </row>
    <row r="75">
      <c r="A75" s="30"/>
      <c r="B75" s="30"/>
      <c r="C75" s="60" t="s">
        <v>262</v>
      </c>
      <c r="D75" s="8"/>
      <c r="E75" s="8"/>
      <c r="F75" s="59"/>
      <c r="G75" s="63"/>
      <c r="H75" s="145" t="s">
        <v>24</v>
      </c>
      <c r="I75" s="28"/>
      <c r="J75" s="63"/>
      <c r="K75" s="63"/>
      <c r="L75" s="28" t="s">
        <v>24</v>
      </c>
    </row>
    <row r="76">
      <c r="A76" s="30"/>
      <c r="B76" s="30"/>
      <c r="C76" s="143" t="s">
        <v>263</v>
      </c>
      <c r="D76" s="8"/>
      <c r="E76" s="8"/>
      <c r="F76" s="59"/>
      <c r="G76" s="63"/>
      <c r="H76" s="145" t="s">
        <v>24</v>
      </c>
      <c r="I76" s="28"/>
      <c r="J76" s="63"/>
      <c r="K76" s="63"/>
      <c r="L76" s="28"/>
    </row>
    <row r="77">
      <c r="A77" s="30"/>
      <c r="B77" s="30"/>
      <c r="C77" s="60" t="s">
        <v>264</v>
      </c>
      <c r="D77" s="8"/>
      <c r="E77" s="8"/>
      <c r="F77" s="59"/>
      <c r="G77" s="63"/>
      <c r="H77" s="145" t="s">
        <v>24</v>
      </c>
      <c r="I77" s="28"/>
      <c r="J77" s="63"/>
      <c r="K77" s="63"/>
      <c r="L77" s="28" t="s">
        <v>24</v>
      </c>
    </row>
    <row r="78">
      <c r="A78" s="38"/>
      <c r="B78" s="38"/>
      <c r="C78" s="60" t="s">
        <v>265</v>
      </c>
      <c r="D78" s="8"/>
      <c r="E78" s="8"/>
      <c r="F78" s="59" t="s">
        <v>266</v>
      </c>
      <c r="G78" s="63"/>
      <c r="H78" s="28" t="s">
        <v>24</v>
      </c>
      <c r="I78" s="28"/>
      <c r="J78" s="63"/>
      <c r="K78" s="63"/>
      <c r="L78" s="28" t="s">
        <v>24</v>
      </c>
    </row>
    <row r="79">
      <c r="A79" s="56" t="s">
        <v>267</v>
      </c>
      <c r="B79" s="25"/>
      <c r="C79" s="26" t="s">
        <v>268</v>
      </c>
      <c r="D79" s="8"/>
      <c r="E79" s="8"/>
      <c r="F79" s="147"/>
      <c r="G79" s="28"/>
      <c r="H79" s="28" t="s">
        <v>24</v>
      </c>
      <c r="I79" s="28"/>
      <c r="J79" s="28"/>
      <c r="K79" s="28"/>
      <c r="L79" s="28" t="s">
        <v>24</v>
      </c>
    </row>
    <row r="80">
      <c r="A80" s="30"/>
      <c r="B80" s="25"/>
      <c r="C80" s="148" t="s">
        <v>269</v>
      </c>
      <c r="D80" s="102" t="s">
        <v>270</v>
      </c>
      <c r="E80" s="8"/>
      <c r="F80" s="18"/>
      <c r="G80" s="28"/>
      <c r="H80" s="28" t="s">
        <v>24</v>
      </c>
      <c r="I80" s="28"/>
      <c r="J80" s="28"/>
      <c r="K80" s="28"/>
      <c r="L80" s="28" t="s">
        <v>24</v>
      </c>
    </row>
    <row r="81">
      <c r="A81" s="30"/>
      <c r="B81" s="25"/>
      <c r="C81" s="26" t="s">
        <v>271</v>
      </c>
      <c r="D81" s="8"/>
      <c r="E81" s="8"/>
      <c r="F81" s="18"/>
      <c r="G81" s="28"/>
      <c r="H81" s="28" t="s">
        <v>24</v>
      </c>
      <c r="I81" s="28"/>
      <c r="J81" s="28"/>
      <c r="K81" s="28"/>
      <c r="L81" s="28" t="s">
        <v>24</v>
      </c>
    </row>
    <row r="82">
      <c r="A82" s="30"/>
      <c r="B82" s="25"/>
      <c r="C82" s="26" t="s">
        <v>272</v>
      </c>
      <c r="D82" s="8"/>
      <c r="E82" s="8"/>
      <c r="F82" s="18"/>
      <c r="G82" s="101"/>
      <c r="H82" s="101" t="s">
        <v>24</v>
      </c>
      <c r="I82" s="28"/>
      <c r="J82" s="101"/>
      <c r="K82" s="101"/>
      <c r="L82" s="28" t="s">
        <v>24</v>
      </c>
    </row>
    <row r="83">
      <c r="A83" s="30"/>
      <c r="B83" s="25"/>
      <c r="C83" s="148" t="s">
        <v>273</v>
      </c>
      <c r="D83" s="102" t="s">
        <v>270</v>
      </c>
      <c r="E83" s="8"/>
      <c r="F83" s="18"/>
      <c r="G83" s="28"/>
      <c r="H83" s="28" t="s">
        <v>24</v>
      </c>
      <c r="I83" s="28"/>
      <c r="J83" s="28"/>
      <c r="K83" s="28"/>
      <c r="L83" s="28" t="s">
        <v>24</v>
      </c>
    </row>
    <row r="84">
      <c r="A84" s="30"/>
      <c r="B84" s="25"/>
      <c r="C84" s="26" t="s">
        <v>274</v>
      </c>
      <c r="D84" s="8"/>
      <c r="E84" s="8"/>
      <c r="F84" s="149" t="s">
        <v>275</v>
      </c>
      <c r="G84" s="28"/>
      <c r="H84" s="28" t="s">
        <v>24</v>
      </c>
      <c r="I84" s="28"/>
      <c r="J84" s="28"/>
      <c r="K84" s="28"/>
      <c r="L84" s="28"/>
    </row>
    <row r="85">
      <c r="A85" s="30"/>
      <c r="B85" s="25"/>
      <c r="C85" s="148" t="s">
        <v>276</v>
      </c>
      <c r="D85" s="8"/>
      <c r="E85" s="8"/>
      <c r="F85" s="18"/>
      <c r="G85" s="28"/>
      <c r="H85" s="28" t="s">
        <v>24</v>
      </c>
      <c r="I85" s="28"/>
      <c r="J85" s="28"/>
      <c r="K85" s="28"/>
      <c r="L85" s="28"/>
    </row>
    <row r="86">
      <c r="A86" s="30"/>
      <c r="B86" s="25"/>
      <c r="C86" s="26" t="s">
        <v>277</v>
      </c>
      <c r="D86" s="8"/>
      <c r="E86" s="8"/>
      <c r="F86" s="18"/>
      <c r="G86" s="28"/>
      <c r="H86" s="28" t="s">
        <v>24</v>
      </c>
      <c r="I86" s="28"/>
      <c r="J86" s="28"/>
      <c r="K86" s="28"/>
      <c r="L86" s="28"/>
    </row>
    <row r="87">
      <c r="A87" s="30"/>
      <c r="B87" s="25"/>
      <c r="C87" s="148" t="s">
        <v>278</v>
      </c>
      <c r="D87" s="8"/>
      <c r="E87" s="8"/>
      <c r="F87" s="18"/>
      <c r="G87" s="28"/>
      <c r="H87" s="28" t="s">
        <v>24</v>
      </c>
      <c r="I87" s="28"/>
      <c r="J87" s="28"/>
      <c r="K87" s="28"/>
      <c r="L87" s="28"/>
    </row>
    <row r="88">
      <c r="A88" s="30"/>
      <c r="B88" s="25"/>
      <c r="C88" s="148" t="s">
        <v>279</v>
      </c>
      <c r="D88" s="8"/>
      <c r="E88" s="8"/>
      <c r="F88" s="18"/>
      <c r="G88" s="28"/>
      <c r="H88" s="28" t="s">
        <v>24</v>
      </c>
      <c r="I88" s="28"/>
      <c r="J88" s="28"/>
      <c r="K88" s="28"/>
      <c r="L88" s="28"/>
    </row>
    <row r="89">
      <c r="A89" s="30"/>
      <c r="B89" s="25"/>
      <c r="C89" s="148" t="s">
        <v>280</v>
      </c>
      <c r="D89" s="8"/>
      <c r="E89" s="8"/>
      <c r="F89" s="59"/>
      <c r="G89" s="28"/>
      <c r="H89" s="28" t="s">
        <v>24</v>
      </c>
      <c r="I89" s="28"/>
      <c r="J89" s="28"/>
      <c r="K89" s="28"/>
      <c r="L89" s="28"/>
    </row>
    <row r="90">
      <c r="A90" s="30"/>
      <c r="B90" s="25"/>
      <c r="C90" s="55" t="s">
        <v>281</v>
      </c>
      <c r="D90" s="8"/>
      <c r="E90" s="8"/>
      <c r="F90" s="59" t="s">
        <v>282</v>
      </c>
      <c r="G90" s="28"/>
      <c r="H90" s="28" t="s">
        <v>24</v>
      </c>
      <c r="I90" s="28"/>
      <c r="J90" s="28"/>
      <c r="K90" s="28"/>
      <c r="L90" s="28"/>
    </row>
    <row r="91">
      <c r="A91" s="30"/>
      <c r="B91" s="25"/>
      <c r="C91" s="26" t="s">
        <v>283</v>
      </c>
      <c r="D91" s="8"/>
      <c r="E91" s="8"/>
      <c r="F91" s="18"/>
      <c r="G91" s="28"/>
      <c r="H91" s="28" t="s">
        <v>24</v>
      </c>
      <c r="I91" s="28"/>
      <c r="J91" s="28"/>
      <c r="K91" s="28"/>
      <c r="L91" s="28"/>
    </row>
    <row r="92">
      <c r="A92" s="30"/>
      <c r="B92" s="25"/>
      <c r="C92" s="26" t="s">
        <v>284</v>
      </c>
      <c r="D92" s="8"/>
      <c r="E92" s="8"/>
      <c r="F92" s="18"/>
      <c r="G92" s="28"/>
      <c r="H92" s="28" t="s">
        <v>24</v>
      </c>
      <c r="I92" s="28"/>
      <c r="J92" s="28"/>
      <c r="K92" s="28"/>
      <c r="L92" s="28"/>
    </row>
    <row r="93">
      <c r="A93" s="30"/>
      <c r="B93" s="25"/>
      <c r="C93" s="26" t="s">
        <v>285</v>
      </c>
      <c r="D93" s="8"/>
      <c r="E93" s="8"/>
      <c r="F93" s="18"/>
      <c r="G93" s="63"/>
      <c r="H93" s="28" t="s">
        <v>24</v>
      </c>
      <c r="I93" s="28"/>
      <c r="J93" s="63"/>
      <c r="K93" s="28"/>
      <c r="L93" s="28"/>
    </row>
    <row r="94">
      <c r="A94" s="30"/>
      <c r="B94" s="25"/>
      <c r="C94" s="148" t="s">
        <v>286</v>
      </c>
      <c r="D94" s="8"/>
      <c r="E94" s="8"/>
      <c r="F94" s="18"/>
      <c r="G94" s="63"/>
      <c r="H94" s="28" t="s">
        <v>24</v>
      </c>
      <c r="I94" s="28"/>
      <c r="J94" s="63"/>
      <c r="K94" s="28"/>
      <c r="L94" s="28"/>
    </row>
    <row r="95">
      <c r="A95" s="30"/>
      <c r="B95" s="25"/>
      <c r="C95" s="26" t="s">
        <v>287</v>
      </c>
      <c r="D95" s="8"/>
      <c r="E95" s="8"/>
      <c r="F95" s="59" t="s">
        <v>288</v>
      </c>
      <c r="G95" s="63"/>
      <c r="H95" s="28" t="s">
        <v>24</v>
      </c>
      <c r="I95" s="28"/>
      <c r="J95" s="63"/>
      <c r="K95" s="28"/>
      <c r="L95" s="28"/>
    </row>
    <row r="96">
      <c r="A96" s="30"/>
      <c r="B96" s="25"/>
      <c r="C96" s="26" t="s">
        <v>289</v>
      </c>
      <c r="D96" s="8"/>
      <c r="E96" s="8"/>
      <c r="F96" s="59"/>
      <c r="G96" s="63"/>
      <c r="H96" s="28" t="s">
        <v>24</v>
      </c>
      <c r="I96" s="28"/>
      <c r="J96" s="63"/>
      <c r="K96" s="28"/>
      <c r="L96" s="28"/>
    </row>
    <row r="97">
      <c r="A97" s="30"/>
      <c r="B97" s="25"/>
      <c r="C97" s="26" t="s">
        <v>290</v>
      </c>
      <c r="D97" s="8"/>
      <c r="E97" s="8"/>
      <c r="F97" s="59" t="s">
        <v>291</v>
      </c>
      <c r="G97" s="63"/>
      <c r="H97" s="28" t="s">
        <v>24</v>
      </c>
      <c r="I97" s="28"/>
      <c r="J97" s="63"/>
      <c r="K97" s="28"/>
      <c r="L97" s="28"/>
    </row>
    <row r="98">
      <c r="A98" s="30"/>
      <c r="B98" s="25"/>
      <c r="C98" s="148" t="s">
        <v>292</v>
      </c>
      <c r="D98" s="8"/>
      <c r="E98" s="8"/>
      <c r="F98" s="18"/>
      <c r="G98" s="63"/>
      <c r="H98" s="101" t="s">
        <v>24</v>
      </c>
      <c r="I98" s="28"/>
      <c r="J98" s="63"/>
      <c r="K98" s="101"/>
      <c r="L98" s="28"/>
    </row>
    <row r="99">
      <c r="A99" s="30"/>
      <c r="B99" s="25"/>
      <c r="C99" s="26" t="s">
        <v>293</v>
      </c>
      <c r="D99" s="8"/>
      <c r="E99" s="8"/>
      <c r="F99" s="18"/>
      <c r="G99" s="63"/>
      <c r="H99" s="28" t="s">
        <v>24</v>
      </c>
      <c r="I99" s="28"/>
      <c r="J99" s="63"/>
      <c r="K99" s="28"/>
      <c r="L99" s="28"/>
    </row>
    <row r="100">
      <c r="A100" s="30"/>
      <c r="B100" s="25"/>
      <c r="C100" s="26" t="s">
        <v>294</v>
      </c>
      <c r="D100" s="8"/>
      <c r="E100" s="8"/>
      <c r="F100" s="59" t="s">
        <v>295</v>
      </c>
      <c r="G100" s="63"/>
      <c r="H100" s="28" t="s">
        <v>24</v>
      </c>
      <c r="I100" s="28"/>
      <c r="J100" s="63"/>
      <c r="K100" s="28"/>
      <c r="L100" s="28"/>
    </row>
    <row r="101">
      <c r="A101" s="30"/>
      <c r="B101" s="25"/>
      <c r="C101" s="26" t="s">
        <v>296</v>
      </c>
      <c r="D101" s="8"/>
      <c r="E101" s="8"/>
      <c r="F101" s="59" t="s">
        <v>295</v>
      </c>
      <c r="G101" s="63"/>
      <c r="H101" s="28" t="s">
        <v>24</v>
      </c>
      <c r="I101" s="28"/>
      <c r="J101" s="63"/>
      <c r="K101" s="28"/>
      <c r="L101" s="28"/>
    </row>
    <row r="102">
      <c r="A102" s="30"/>
      <c r="B102" s="25"/>
      <c r="C102" s="55" t="s">
        <v>297</v>
      </c>
      <c r="D102" s="8"/>
      <c r="E102" s="8"/>
      <c r="F102" s="18"/>
      <c r="G102" s="63"/>
      <c r="H102" s="28" t="s">
        <v>24</v>
      </c>
      <c r="I102" s="28"/>
      <c r="J102" s="63"/>
      <c r="K102" s="28"/>
      <c r="L102" s="28"/>
    </row>
    <row r="103">
      <c r="A103" s="30"/>
      <c r="B103" s="25"/>
      <c r="C103" s="55" t="s">
        <v>298</v>
      </c>
      <c r="D103" s="8"/>
      <c r="E103" s="8"/>
      <c r="F103" s="18"/>
      <c r="G103" s="63"/>
      <c r="H103" s="28" t="s">
        <v>24</v>
      </c>
      <c r="I103" s="28"/>
      <c r="J103" s="63"/>
      <c r="K103" s="28"/>
      <c r="L103" s="28"/>
    </row>
    <row r="104">
      <c r="A104" s="30"/>
      <c r="B104" s="25"/>
      <c r="C104" s="150" t="s">
        <v>299</v>
      </c>
      <c r="D104" s="8"/>
      <c r="E104" s="8"/>
      <c r="F104" s="18"/>
      <c r="G104" s="63"/>
      <c r="H104" s="28" t="s">
        <v>24</v>
      </c>
      <c r="I104" s="28"/>
      <c r="J104" s="63"/>
      <c r="K104" s="28"/>
      <c r="L104" s="28"/>
    </row>
    <row r="105">
      <c r="A105" s="30"/>
      <c r="B105" s="25"/>
      <c r="C105" s="55" t="s">
        <v>300</v>
      </c>
      <c r="D105" s="8"/>
      <c r="E105" s="8"/>
      <c r="F105" s="18"/>
      <c r="G105" s="63"/>
      <c r="H105" s="28" t="s">
        <v>24</v>
      </c>
      <c r="I105" s="28"/>
      <c r="J105" s="63"/>
      <c r="K105" s="28"/>
      <c r="L105" s="28"/>
    </row>
    <row r="106">
      <c r="A106" s="30"/>
      <c r="B106" s="25"/>
      <c r="C106" s="151" t="s">
        <v>301</v>
      </c>
      <c r="D106" s="8"/>
      <c r="E106" s="8"/>
      <c r="F106" s="18"/>
      <c r="G106" s="63"/>
      <c r="H106" s="28" t="s">
        <v>24</v>
      </c>
      <c r="I106" s="63"/>
      <c r="J106" s="63"/>
      <c r="K106" s="28"/>
      <c r="L106" s="63"/>
    </row>
    <row r="107">
      <c r="A107" s="30"/>
      <c r="B107" s="25"/>
      <c r="C107" s="26" t="s">
        <v>302</v>
      </c>
      <c r="D107" s="8"/>
      <c r="E107" s="8"/>
      <c r="F107" s="18"/>
      <c r="G107" s="63"/>
      <c r="H107" s="28" t="s">
        <v>24</v>
      </c>
      <c r="I107" s="63"/>
      <c r="J107" s="63"/>
      <c r="K107" s="28"/>
      <c r="L107" s="63"/>
    </row>
    <row r="108">
      <c r="A108" s="30"/>
      <c r="B108" s="152" t="s">
        <v>303</v>
      </c>
      <c r="C108" s="26" t="s">
        <v>304</v>
      </c>
      <c r="D108" s="8"/>
      <c r="E108" s="8"/>
      <c r="F108" s="18"/>
      <c r="G108" s="63"/>
      <c r="H108" s="28" t="s">
        <v>24</v>
      </c>
      <c r="I108" s="63"/>
      <c r="J108" s="63"/>
      <c r="K108" s="28"/>
      <c r="L108" s="63"/>
    </row>
    <row r="109">
      <c r="A109" s="30"/>
      <c r="B109" s="30"/>
      <c r="C109" s="26" t="s">
        <v>305</v>
      </c>
      <c r="D109" s="8"/>
      <c r="E109" s="8"/>
      <c r="F109" s="18"/>
      <c r="G109" s="63"/>
      <c r="H109" s="28" t="s">
        <v>24</v>
      </c>
      <c r="I109" s="63"/>
      <c r="J109" s="63"/>
      <c r="K109" s="28"/>
      <c r="L109" s="63"/>
    </row>
    <row r="110">
      <c r="A110" s="30"/>
      <c r="B110" s="30"/>
      <c r="C110" s="26" t="s">
        <v>306</v>
      </c>
      <c r="D110" s="8"/>
      <c r="E110" s="8"/>
      <c r="F110" s="18"/>
      <c r="G110" s="63"/>
      <c r="H110" s="28" t="s">
        <v>24</v>
      </c>
      <c r="I110" s="63"/>
      <c r="J110" s="63"/>
      <c r="K110" s="28"/>
      <c r="L110" s="63"/>
    </row>
    <row r="111">
      <c r="A111" s="30"/>
      <c r="B111" s="30"/>
      <c r="C111" s="26" t="s">
        <v>307</v>
      </c>
      <c r="D111" s="8"/>
      <c r="E111" s="8"/>
      <c r="F111" s="18"/>
      <c r="G111" s="63"/>
      <c r="H111" s="28" t="s">
        <v>24</v>
      </c>
      <c r="I111" s="63"/>
      <c r="J111" s="63"/>
      <c r="K111" s="28"/>
      <c r="L111" s="63"/>
    </row>
    <row r="112">
      <c r="A112" s="30"/>
      <c r="B112" s="30"/>
      <c r="C112" s="26" t="s">
        <v>308</v>
      </c>
      <c r="D112" s="8"/>
      <c r="E112" s="8"/>
      <c r="F112" s="18"/>
      <c r="G112" s="63"/>
      <c r="H112" s="28" t="s">
        <v>24</v>
      </c>
      <c r="I112" s="63"/>
      <c r="J112" s="63"/>
      <c r="K112" s="28"/>
      <c r="L112" s="63"/>
    </row>
    <row r="113">
      <c r="A113" s="30"/>
      <c r="B113" s="30"/>
      <c r="C113" s="26" t="s">
        <v>309</v>
      </c>
      <c r="D113" s="8"/>
      <c r="E113" s="8"/>
      <c r="F113" s="18"/>
      <c r="G113" s="63"/>
      <c r="H113" s="28" t="s">
        <v>24</v>
      </c>
      <c r="I113" s="63"/>
      <c r="J113" s="63"/>
      <c r="K113" s="28"/>
      <c r="L113" s="63"/>
    </row>
    <row r="114">
      <c r="A114" s="30"/>
      <c r="B114" s="38"/>
      <c r="C114" s="26" t="s">
        <v>310</v>
      </c>
      <c r="D114" s="8"/>
      <c r="E114" s="8"/>
      <c r="F114" s="18"/>
      <c r="G114" s="63"/>
      <c r="H114" s="28" t="s">
        <v>24</v>
      </c>
      <c r="I114" s="63"/>
      <c r="J114" s="63"/>
      <c r="K114" s="28"/>
      <c r="L114" s="63"/>
    </row>
    <row r="115">
      <c r="A115" s="38"/>
      <c r="B115" s="70" t="s">
        <v>311</v>
      </c>
      <c r="C115" s="148" t="s">
        <v>312</v>
      </c>
      <c r="D115" s="8"/>
      <c r="E115" s="8"/>
      <c r="F115" s="18"/>
      <c r="G115" s="63"/>
      <c r="H115" s="28" t="s">
        <v>24</v>
      </c>
      <c r="I115" s="63"/>
      <c r="J115" s="63"/>
      <c r="K115" s="28"/>
      <c r="L115" s="63"/>
    </row>
    <row r="116">
      <c r="A116" s="56" t="s">
        <v>125</v>
      </c>
      <c r="B116" s="25"/>
      <c r="C116" s="26" t="s">
        <v>21</v>
      </c>
      <c r="D116" s="8"/>
      <c r="E116" s="8"/>
      <c r="F116" s="18"/>
      <c r="G116" s="63"/>
      <c r="H116" s="63"/>
      <c r="I116" s="63"/>
      <c r="J116" s="63"/>
      <c r="K116" s="63"/>
      <c r="L116" s="63"/>
    </row>
    <row r="117">
      <c r="A117" s="30"/>
      <c r="B117" s="31" t="s">
        <v>25</v>
      </c>
      <c r="C117" s="32" t="s">
        <v>26</v>
      </c>
      <c r="D117" s="8"/>
      <c r="E117" s="8"/>
      <c r="F117" s="99" t="s">
        <v>27</v>
      </c>
      <c r="G117" s="63"/>
      <c r="H117" s="34" t="s">
        <v>24</v>
      </c>
      <c r="I117" s="34"/>
      <c r="J117" s="63"/>
      <c r="K117" s="34"/>
      <c r="L117" s="34"/>
    </row>
    <row r="118">
      <c r="A118" s="30"/>
      <c r="B118" s="30"/>
      <c r="C118" s="32" t="s">
        <v>160</v>
      </c>
      <c r="D118" s="8"/>
      <c r="E118" s="8"/>
      <c r="F118" s="59" t="s">
        <v>30</v>
      </c>
      <c r="G118" s="63"/>
      <c r="H118" s="37" t="s">
        <v>24</v>
      </c>
      <c r="I118" s="37"/>
      <c r="J118" s="63"/>
      <c r="K118" s="37"/>
      <c r="L118" s="37"/>
    </row>
    <row r="119">
      <c r="A119" s="30"/>
      <c r="B119" s="38"/>
      <c r="C119" s="32" t="s">
        <v>31</v>
      </c>
      <c r="D119" s="8"/>
      <c r="E119" s="8"/>
      <c r="F119" s="18"/>
      <c r="G119" s="63"/>
      <c r="H119" s="39" t="s">
        <v>24</v>
      </c>
      <c r="I119" s="47"/>
      <c r="J119" s="63"/>
      <c r="K119" s="39"/>
      <c r="L119" s="47"/>
    </row>
    <row r="120">
      <c r="A120" s="30"/>
      <c r="B120" s="31" t="s">
        <v>32</v>
      </c>
      <c r="C120" s="32" t="s">
        <v>33</v>
      </c>
      <c r="D120" s="8"/>
      <c r="E120" s="8"/>
      <c r="F120" s="59" t="s">
        <v>34</v>
      </c>
      <c r="G120" s="63"/>
      <c r="H120" s="106" t="s">
        <v>24</v>
      </c>
      <c r="I120" s="47"/>
      <c r="J120" s="63"/>
      <c r="K120" s="104"/>
      <c r="L120" s="47"/>
    </row>
    <row r="121">
      <c r="A121" s="30"/>
      <c r="B121" s="30"/>
      <c r="C121" s="42" t="s">
        <v>35</v>
      </c>
      <c r="D121" s="8"/>
      <c r="E121" s="8"/>
      <c r="F121" s="99" t="s">
        <v>114</v>
      </c>
      <c r="G121" s="63"/>
      <c r="H121" s="107" t="s">
        <v>24</v>
      </c>
      <c r="I121" s="47"/>
      <c r="J121" s="63"/>
      <c r="K121" s="104"/>
      <c r="L121" s="47"/>
    </row>
    <row r="122">
      <c r="A122" s="30"/>
      <c r="B122" s="30"/>
      <c r="C122" s="32" t="s">
        <v>38</v>
      </c>
      <c r="D122" s="8"/>
      <c r="E122" s="8"/>
      <c r="F122" s="44"/>
      <c r="G122" s="63"/>
      <c r="H122" s="107" t="s">
        <v>24</v>
      </c>
      <c r="I122" s="104"/>
      <c r="J122" s="63"/>
      <c r="K122" s="104"/>
      <c r="L122" s="104"/>
    </row>
    <row r="123">
      <c r="A123" s="30"/>
      <c r="B123" s="38"/>
      <c r="C123" s="32" t="s">
        <v>39</v>
      </c>
      <c r="D123" s="8"/>
      <c r="E123" s="8"/>
      <c r="F123" s="45" t="s">
        <v>40</v>
      </c>
      <c r="G123" s="63"/>
      <c r="H123" s="39" t="s">
        <v>24</v>
      </c>
      <c r="I123" s="47"/>
      <c r="J123" s="63"/>
      <c r="K123" s="153"/>
      <c r="L123" s="47"/>
    </row>
    <row r="124">
      <c r="A124" s="30"/>
      <c r="B124" s="42" t="s">
        <v>41</v>
      </c>
      <c r="C124" s="32" t="s">
        <v>42</v>
      </c>
      <c r="D124" s="8"/>
      <c r="E124" s="8"/>
      <c r="F124" s="18"/>
      <c r="G124" s="63"/>
      <c r="H124" s="39" t="s">
        <v>24</v>
      </c>
      <c r="I124" s="47"/>
      <c r="J124" s="63"/>
      <c r="K124" s="39"/>
      <c r="L124" s="47"/>
    </row>
    <row r="125">
      <c r="A125" s="30"/>
      <c r="B125" s="32"/>
      <c r="C125" s="32" t="s">
        <v>136</v>
      </c>
      <c r="D125" s="8"/>
      <c r="E125" s="8"/>
      <c r="F125" s="49"/>
      <c r="G125" s="63"/>
      <c r="H125" s="39" t="s">
        <v>24</v>
      </c>
      <c r="I125" s="104"/>
      <c r="J125" s="63"/>
      <c r="K125" s="39"/>
      <c r="L125" s="104"/>
    </row>
    <row r="126">
      <c r="A126" s="30"/>
      <c r="B126" s="32" t="s">
        <v>45</v>
      </c>
      <c r="C126" s="32" t="s">
        <v>46</v>
      </c>
      <c r="D126" s="8"/>
      <c r="E126" s="8"/>
      <c r="F126" s="49" t="s">
        <v>48</v>
      </c>
      <c r="G126" s="63"/>
      <c r="H126" s="39" t="s">
        <v>24</v>
      </c>
      <c r="I126" s="104"/>
      <c r="J126" s="63"/>
      <c r="K126" s="39"/>
      <c r="L126" s="104"/>
    </row>
    <row r="127">
      <c r="A127" s="30"/>
      <c r="B127" s="51" t="s">
        <v>49</v>
      </c>
      <c r="C127" s="32" t="s">
        <v>50</v>
      </c>
      <c r="D127" s="8"/>
      <c r="E127" s="8"/>
      <c r="F127" s="18"/>
      <c r="G127" s="63"/>
      <c r="H127" s="39" t="s">
        <v>24</v>
      </c>
      <c r="I127" s="47"/>
      <c r="J127" s="63"/>
      <c r="K127" s="39"/>
      <c r="L127" s="47"/>
    </row>
    <row r="128">
      <c r="A128" s="30"/>
      <c r="B128" s="30"/>
      <c r="C128" s="32" t="s">
        <v>51</v>
      </c>
      <c r="D128" s="8"/>
      <c r="E128" s="8"/>
      <c r="F128" s="49" t="s">
        <v>52</v>
      </c>
      <c r="G128" s="63"/>
      <c r="H128" s="39" t="s">
        <v>24</v>
      </c>
      <c r="I128" s="52"/>
      <c r="J128" s="63"/>
      <c r="K128" s="39"/>
      <c r="L128" s="52"/>
    </row>
    <row r="129">
      <c r="A129" s="30"/>
      <c r="B129" s="30"/>
      <c r="C129" s="32" t="s">
        <v>53</v>
      </c>
      <c r="D129" s="8"/>
      <c r="E129" s="8"/>
      <c r="F129" s="18"/>
      <c r="G129" s="63"/>
      <c r="H129" s="39" t="s">
        <v>24</v>
      </c>
      <c r="I129" s="52"/>
      <c r="J129" s="63"/>
      <c r="K129" s="39"/>
      <c r="L129" s="52"/>
    </row>
    <row r="130">
      <c r="A130" s="30"/>
      <c r="B130" s="38"/>
      <c r="C130" s="32" t="s">
        <v>54</v>
      </c>
      <c r="D130" s="8"/>
      <c r="E130" s="8"/>
      <c r="F130" s="18"/>
      <c r="G130" s="63"/>
      <c r="H130" s="28" t="s">
        <v>24</v>
      </c>
      <c r="I130" s="53"/>
      <c r="J130" s="63"/>
      <c r="K130" s="28"/>
      <c r="L130" s="53"/>
    </row>
    <row r="131">
      <c r="A131" s="30"/>
      <c r="B131" s="51" t="s">
        <v>55</v>
      </c>
      <c r="C131" s="32" t="s">
        <v>139</v>
      </c>
      <c r="D131" s="8"/>
      <c r="E131" s="8"/>
      <c r="F131" s="18"/>
      <c r="G131" s="63"/>
      <c r="H131" s="28" t="s">
        <v>24</v>
      </c>
      <c r="I131" s="28"/>
      <c r="J131" s="63"/>
      <c r="K131" s="63"/>
      <c r="L131" s="28"/>
    </row>
    <row r="132">
      <c r="A132" s="30"/>
      <c r="B132" s="30"/>
      <c r="C132" s="32" t="s">
        <v>140</v>
      </c>
      <c r="D132" s="8"/>
      <c r="E132" s="8"/>
      <c r="F132" s="18"/>
      <c r="G132" s="63"/>
      <c r="H132" s="28" t="s">
        <v>24</v>
      </c>
      <c r="I132" s="28"/>
      <c r="J132" s="63"/>
      <c r="K132" s="63"/>
      <c r="L132" s="28"/>
    </row>
    <row r="133">
      <c r="A133" s="30"/>
      <c r="B133" s="38"/>
      <c r="C133" s="54" t="s">
        <v>141</v>
      </c>
      <c r="D133" s="8"/>
      <c r="E133" s="8"/>
      <c r="F133" s="18"/>
      <c r="G133" s="63"/>
      <c r="H133" s="28" t="s">
        <v>24</v>
      </c>
      <c r="I133" s="47"/>
      <c r="J133" s="63"/>
      <c r="K133" s="28"/>
      <c r="L133" s="47"/>
    </row>
    <row r="134">
      <c r="A134" s="30"/>
      <c r="B134" s="32" t="s">
        <v>60</v>
      </c>
      <c r="C134" s="32" t="s">
        <v>61</v>
      </c>
      <c r="D134" s="8"/>
      <c r="E134" s="8"/>
      <c r="F134" s="18"/>
      <c r="G134" s="63"/>
      <c r="H134" s="40" t="s">
        <v>24</v>
      </c>
      <c r="I134" s="63"/>
      <c r="J134" s="63"/>
      <c r="K134" s="47"/>
      <c r="L134" s="63"/>
    </row>
    <row r="135">
      <c r="A135" s="30"/>
      <c r="B135" s="25"/>
      <c r="C135" s="32" t="s">
        <v>142</v>
      </c>
      <c r="D135" s="8"/>
      <c r="E135" s="8"/>
      <c r="F135" s="18"/>
      <c r="G135" s="63"/>
      <c r="H135" s="40" t="s">
        <v>24</v>
      </c>
      <c r="I135" s="63"/>
      <c r="J135" s="63"/>
      <c r="K135" s="47"/>
      <c r="L135" s="63"/>
    </row>
    <row r="136">
      <c r="A136" s="30"/>
      <c r="B136" s="32" t="s">
        <v>63</v>
      </c>
      <c r="C136" s="32" t="s">
        <v>64</v>
      </c>
      <c r="D136" s="8"/>
      <c r="E136" s="8"/>
      <c r="F136" s="49" t="s">
        <v>65</v>
      </c>
      <c r="G136" s="63"/>
      <c r="H136" s="28" t="s">
        <v>24</v>
      </c>
      <c r="I136" s="47"/>
      <c r="J136" s="63"/>
      <c r="K136" s="63"/>
      <c r="L136" s="47"/>
    </row>
    <row r="137">
      <c r="A137" s="38"/>
      <c r="B137" s="25"/>
      <c r="C137" s="154"/>
      <c r="D137" s="8"/>
      <c r="E137" s="8"/>
      <c r="F137" s="18"/>
      <c r="G137" s="63"/>
      <c r="H137" s="63"/>
      <c r="I137" s="63"/>
      <c r="J137" s="63"/>
      <c r="K137" s="63"/>
      <c r="L137" s="63"/>
    </row>
    <row r="138">
      <c r="A138" s="56" t="s">
        <v>313</v>
      </c>
      <c r="B138" s="25"/>
      <c r="C138" s="32" t="s">
        <v>314</v>
      </c>
      <c r="D138" s="8"/>
      <c r="E138" s="8"/>
      <c r="F138" s="18"/>
      <c r="G138" s="63"/>
      <c r="H138" s="28" t="s">
        <v>24</v>
      </c>
      <c r="I138" s="63"/>
      <c r="J138" s="63"/>
      <c r="K138" s="63"/>
      <c r="L138" s="63"/>
    </row>
    <row r="139">
      <c r="A139" s="30"/>
      <c r="B139" s="25"/>
      <c r="C139" s="32" t="s">
        <v>315</v>
      </c>
      <c r="D139" s="8"/>
      <c r="E139" s="8"/>
      <c r="F139" s="18"/>
      <c r="G139" s="63"/>
      <c r="H139" s="63"/>
      <c r="I139" s="63"/>
      <c r="J139" s="63"/>
      <c r="K139" s="63"/>
      <c r="L139" s="63"/>
    </row>
    <row r="140">
      <c r="A140" s="38"/>
      <c r="B140" s="25"/>
      <c r="C140" s="25"/>
      <c r="D140" s="8"/>
      <c r="E140" s="8"/>
      <c r="F140" s="18"/>
      <c r="G140" s="63"/>
      <c r="H140" s="63"/>
      <c r="I140" s="63"/>
      <c r="J140" s="63"/>
      <c r="K140" s="63"/>
      <c r="L140" s="63"/>
    </row>
    <row r="141">
      <c r="A141" s="56" t="s">
        <v>316</v>
      </c>
      <c r="B141" s="51" t="s">
        <v>317</v>
      </c>
      <c r="C141" s="42" t="s">
        <v>318</v>
      </c>
      <c r="D141" s="8"/>
      <c r="E141" s="8"/>
      <c r="F141" s="59" t="s">
        <v>319</v>
      </c>
      <c r="G141" s="63"/>
      <c r="H141" s="28" t="s">
        <v>24</v>
      </c>
      <c r="I141" s="63"/>
      <c r="J141" s="63"/>
      <c r="K141" s="63"/>
      <c r="L141" s="63"/>
    </row>
    <row r="142">
      <c r="A142" s="30"/>
      <c r="B142" s="30"/>
      <c r="C142" s="42" t="s">
        <v>320</v>
      </c>
      <c r="D142" s="8"/>
      <c r="E142" s="8"/>
      <c r="F142" s="18"/>
      <c r="G142" s="63"/>
      <c r="H142" s="28" t="s">
        <v>24</v>
      </c>
      <c r="I142" s="63"/>
      <c r="J142" s="63"/>
      <c r="K142" s="63"/>
      <c r="L142" s="63"/>
    </row>
    <row r="143">
      <c r="A143" s="30"/>
      <c r="B143" s="30"/>
      <c r="C143" s="42" t="s">
        <v>321</v>
      </c>
      <c r="D143" s="8"/>
      <c r="E143" s="8"/>
      <c r="F143" s="18"/>
      <c r="G143" s="63"/>
      <c r="H143" s="28" t="s">
        <v>24</v>
      </c>
      <c r="I143" s="63"/>
      <c r="J143" s="63"/>
      <c r="K143" s="63"/>
      <c r="L143" s="63"/>
    </row>
    <row r="144">
      <c r="A144" s="30"/>
      <c r="B144" s="30"/>
      <c r="C144" s="42" t="s">
        <v>322</v>
      </c>
      <c r="D144" s="8"/>
      <c r="E144" s="8"/>
      <c r="F144" s="18"/>
      <c r="G144" s="63"/>
      <c r="H144" s="28" t="s">
        <v>24</v>
      </c>
      <c r="I144" s="63"/>
      <c r="J144" s="63"/>
      <c r="K144" s="63"/>
      <c r="L144" s="63"/>
    </row>
    <row r="145">
      <c r="A145" s="30"/>
      <c r="B145" s="30"/>
      <c r="C145" s="42" t="s">
        <v>323</v>
      </c>
      <c r="D145" s="8"/>
      <c r="E145" s="8"/>
      <c r="F145" s="18"/>
      <c r="G145" s="63"/>
      <c r="H145" s="28" t="s">
        <v>24</v>
      </c>
      <c r="I145" s="63"/>
      <c r="J145" s="63"/>
      <c r="K145" s="63"/>
      <c r="L145" s="63"/>
    </row>
    <row r="146">
      <c r="A146" s="30"/>
      <c r="B146" s="30"/>
      <c r="C146" s="42" t="s">
        <v>324</v>
      </c>
      <c r="D146" s="8"/>
      <c r="E146" s="8"/>
      <c r="F146" s="18"/>
      <c r="G146" s="63"/>
      <c r="H146" s="28" t="s">
        <v>24</v>
      </c>
      <c r="I146" s="63"/>
      <c r="J146" s="63"/>
      <c r="K146" s="63"/>
      <c r="L146" s="63"/>
    </row>
    <row r="147">
      <c r="A147" s="30"/>
      <c r="B147" s="30"/>
      <c r="C147" s="42" t="s">
        <v>325</v>
      </c>
      <c r="D147" s="8"/>
      <c r="E147" s="8"/>
      <c r="F147" s="18"/>
      <c r="G147" s="63"/>
      <c r="H147" s="28" t="s">
        <v>24</v>
      </c>
      <c r="I147" s="63"/>
      <c r="J147" s="63"/>
      <c r="K147" s="63"/>
      <c r="L147" s="63"/>
    </row>
    <row r="148">
      <c r="A148" s="30"/>
      <c r="B148" s="38"/>
      <c r="C148" s="42" t="s">
        <v>326</v>
      </c>
      <c r="D148" s="8"/>
      <c r="E148" s="8"/>
      <c r="F148" s="18"/>
      <c r="G148" s="63"/>
      <c r="H148" s="28" t="s">
        <v>24</v>
      </c>
      <c r="I148" s="63"/>
      <c r="J148" s="63"/>
      <c r="K148" s="63"/>
      <c r="L148" s="63"/>
    </row>
    <row r="149">
      <c r="A149" s="30"/>
      <c r="B149" s="51" t="s">
        <v>327</v>
      </c>
      <c r="C149" s="60" t="s">
        <v>328</v>
      </c>
      <c r="D149" s="8"/>
      <c r="E149" s="8"/>
      <c r="F149" s="18"/>
      <c r="G149" s="63"/>
      <c r="H149" s="28" t="s">
        <v>74</v>
      </c>
      <c r="I149" s="63"/>
      <c r="J149" s="63"/>
      <c r="K149" s="63"/>
      <c r="L149" s="63"/>
    </row>
    <row r="150">
      <c r="A150" s="30"/>
      <c r="B150" s="30"/>
      <c r="C150" s="60" t="s">
        <v>322</v>
      </c>
      <c r="D150" s="8"/>
      <c r="E150" s="8"/>
      <c r="F150" s="18"/>
      <c r="G150" s="63"/>
      <c r="H150" s="28" t="s">
        <v>74</v>
      </c>
      <c r="I150" s="63"/>
      <c r="J150" s="63"/>
      <c r="K150" s="63"/>
      <c r="L150" s="63"/>
    </row>
    <row r="151">
      <c r="A151" s="30"/>
      <c r="B151" s="30"/>
      <c r="C151" s="60" t="s">
        <v>323</v>
      </c>
      <c r="D151" s="8"/>
      <c r="E151" s="8"/>
      <c r="F151" s="18"/>
      <c r="G151" s="63"/>
      <c r="H151" s="28" t="s">
        <v>74</v>
      </c>
      <c r="I151" s="63"/>
      <c r="J151" s="63"/>
      <c r="K151" s="63"/>
      <c r="L151" s="63"/>
    </row>
    <row r="152">
      <c r="A152" s="30"/>
      <c r="B152" s="38"/>
      <c r="C152" s="60" t="s">
        <v>324</v>
      </c>
      <c r="D152" s="8"/>
      <c r="E152" s="8"/>
      <c r="F152" s="18"/>
      <c r="G152" s="63"/>
      <c r="H152" s="28" t="s">
        <v>74</v>
      </c>
      <c r="I152" s="63"/>
      <c r="J152" s="63"/>
      <c r="K152" s="63"/>
      <c r="L152" s="63"/>
    </row>
    <row r="153">
      <c r="A153" s="30"/>
      <c r="B153" s="51" t="s">
        <v>329</v>
      </c>
      <c r="C153" s="60" t="s">
        <v>330</v>
      </c>
      <c r="D153" s="8"/>
      <c r="E153" s="8"/>
      <c r="F153" s="18"/>
      <c r="G153" s="63"/>
      <c r="H153" s="63"/>
      <c r="I153" s="63"/>
      <c r="J153" s="63"/>
      <c r="K153" s="63"/>
      <c r="L153" s="63"/>
    </row>
    <row r="154">
      <c r="A154" s="30"/>
      <c r="B154" s="30"/>
      <c r="C154" s="60" t="s">
        <v>331</v>
      </c>
      <c r="D154" s="8"/>
      <c r="E154" s="8"/>
      <c r="F154" s="18"/>
      <c r="G154" s="63"/>
      <c r="H154" s="63"/>
      <c r="I154" s="63"/>
      <c r="J154" s="63"/>
      <c r="K154" s="63"/>
      <c r="L154" s="63"/>
    </row>
    <row r="155">
      <c r="A155" s="30"/>
      <c r="B155" s="30"/>
      <c r="C155" s="60" t="s">
        <v>332</v>
      </c>
      <c r="D155" s="8"/>
      <c r="E155" s="8"/>
      <c r="F155" s="18"/>
      <c r="G155" s="63"/>
      <c r="H155" s="63"/>
      <c r="I155" s="63"/>
      <c r="J155" s="63"/>
      <c r="K155" s="63"/>
      <c r="L155" s="63"/>
    </row>
    <row r="156">
      <c r="A156" s="30"/>
      <c r="B156" s="30"/>
      <c r="C156" s="155" t="s">
        <v>333</v>
      </c>
      <c r="D156" s="8"/>
      <c r="E156" s="8"/>
      <c r="F156" s="18"/>
      <c r="G156" s="63"/>
      <c r="H156" s="63"/>
      <c r="I156" s="63"/>
      <c r="J156" s="63"/>
      <c r="K156" s="63"/>
      <c r="L156" s="63"/>
    </row>
    <row r="157">
      <c r="A157" s="38"/>
      <c r="B157" s="38"/>
      <c r="C157" s="60" t="s">
        <v>334</v>
      </c>
      <c r="D157" s="8"/>
      <c r="E157" s="8"/>
      <c r="F157" s="18"/>
      <c r="G157" s="63"/>
      <c r="H157" s="63"/>
      <c r="I157" s="63"/>
      <c r="J157" s="63"/>
      <c r="K157" s="63"/>
      <c r="L157" s="63"/>
    </row>
    <row r="158">
      <c r="A158" s="56" t="s">
        <v>335</v>
      </c>
      <c r="B158" s="156" t="s">
        <v>336</v>
      </c>
      <c r="C158" s="157" t="s">
        <v>337</v>
      </c>
      <c r="D158" s="8"/>
      <c r="E158" s="8"/>
      <c r="F158" s="158"/>
      <c r="G158" s="28"/>
      <c r="H158" s="159" t="s">
        <v>24</v>
      </c>
      <c r="I158" s="101"/>
      <c r="J158" s="28"/>
      <c r="K158" s="159"/>
      <c r="L158" s="101" t="s">
        <v>24</v>
      </c>
    </row>
    <row r="159">
      <c r="A159" s="30"/>
      <c r="B159" s="30"/>
      <c r="C159" s="160" t="s">
        <v>338</v>
      </c>
      <c r="D159" s="8"/>
      <c r="E159" s="8"/>
      <c r="F159" s="158"/>
      <c r="G159" s="28"/>
      <c r="H159" s="28" t="s">
        <v>24</v>
      </c>
      <c r="I159" s="101"/>
      <c r="J159" s="28"/>
      <c r="K159" s="28"/>
      <c r="L159" s="101" t="s">
        <v>24</v>
      </c>
    </row>
    <row r="160">
      <c r="A160" s="30"/>
      <c r="B160" s="30"/>
      <c r="C160" s="161" t="s">
        <v>339</v>
      </c>
      <c r="D160" s="8"/>
      <c r="E160" s="8"/>
      <c r="F160" s="162" t="s">
        <v>340</v>
      </c>
      <c r="G160" s="28"/>
      <c r="H160" s="28" t="s">
        <v>24</v>
      </c>
      <c r="I160" s="101"/>
      <c r="J160" s="28"/>
      <c r="K160" s="28"/>
      <c r="L160" s="162" t="s">
        <v>340</v>
      </c>
    </row>
    <row r="161">
      <c r="A161" s="30"/>
      <c r="B161" s="30"/>
      <c r="C161" s="163" t="s">
        <v>341</v>
      </c>
      <c r="D161" s="8"/>
      <c r="E161" s="8"/>
      <c r="F161" s="158"/>
      <c r="G161" s="28"/>
      <c r="H161" s="28" t="s">
        <v>24</v>
      </c>
      <c r="I161" s="28"/>
      <c r="J161" s="28"/>
      <c r="K161" s="28"/>
      <c r="L161" s="28" t="s">
        <v>24</v>
      </c>
    </row>
    <row r="162">
      <c r="A162" s="30"/>
      <c r="B162" s="30"/>
      <c r="C162" s="164" t="s">
        <v>342</v>
      </c>
      <c r="D162" s="8"/>
      <c r="E162" s="8"/>
      <c r="F162" s="158"/>
      <c r="G162" s="63"/>
      <c r="H162" s="28" t="s">
        <v>24</v>
      </c>
      <c r="I162" s="101"/>
      <c r="J162" s="63"/>
      <c r="K162" s="63"/>
      <c r="L162" s="162" t="s">
        <v>340</v>
      </c>
    </row>
    <row r="163">
      <c r="A163" s="30"/>
      <c r="B163" s="30"/>
      <c r="C163" s="165" t="s">
        <v>343</v>
      </c>
      <c r="D163" s="8"/>
      <c r="E163" s="8"/>
      <c r="F163" s="158"/>
      <c r="G163" s="63"/>
      <c r="H163" s="28" t="s">
        <v>24</v>
      </c>
      <c r="I163" s="101"/>
      <c r="J163" s="63"/>
      <c r="K163" s="63"/>
      <c r="L163" s="162" t="s">
        <v>340</v>
      </c>
    </row>
    <row r="164">
      <c r="A164" s="30"/>
      <c r="B164" s="30"/>
      <c r="C164" s="166" t="s">
        <v>344</v>
      </c>
      <c r="D164" s="8"/>
      <c r="E164" s="8"/>
      <c r="F164" s="158"/>
      <c r="G164" s="63"/>
      <c r="H164" s="167" t="s">
        <v>345</v>
      </c>
      <c r="I164" s="63"/>
      <c r="J164" s="63"/>
      <c r="K164" s="63"/>
      <c r="L164" s="63"/>
    </row>
    <row r="165">
      <c r="A165" s="30"/>
      <c r="B165" s="30"/>
      <c r="C165" s="168" t="s">
        <v>346</v>
      </c>
      <c r="D165" s="8"/>
      <c r="E165" s="8"/>
      <c r="F165" s="158"/>
      <c r="G165" s="63"/>
      <c r="H165" s="28" t="s">
        <v>24</v>
      </c>
      <c r="I165" s="63"/>
      <c r="J165" s="63"/>
      <c r="K165" s="63"/>
      <c r="L165" s="63"/>
    </row>
    <row r="166">
      <c r="A166" s="30"/>
      <c r="B166" s="30"/>
      <c r="C166" s="168" t="s">
        <v>347</v>
      </c>
      <c r="D166" s="8"/>
      <c r="E166" s="8"/>
      <c r="F166" s="158"/>
      <c r="G166" s="63"/>
      <c r="H166" s="28" t="s">
        <v>24</v>
      </c>
      <c r="I166" s="63"/>
      <c r="J166" s="63"/>
      <c r="K166" s="63"/>
      <c r="L166" s="63"/>
    </row>
    <row r="167">
      <c r="A167" s="30"/>
      <c r="B167" s="30"/>
      <c r="C167" s="169" t="s">
        <v>348</v>
      </c>
      <c r="D167" s="8"/>
      <c r="E167" s="8"/>
      <c r="F167" s="158"/>
      <c r="G167" s="63"/>
      <c r="H167" s="28" t="s">
        <v>24</v>
      </c>
      <c r="I167" s="63"/>
      <c r="J167" s="63"/>
      <c r="K167" s="63"/>
      <c r="L167" s="63"/>
    </row>
    <row r="168">
      <c r="A168" s="30"/>
      <c r="B168" s="170" t="s">
        <v>349</v>
      </c>
      <c r="C168" s="170" t="s">
        <v>350</v>
      </c>
      <c r="D168" s="8"/>
      <c r="E168" s="8"/>
      <c r="F168" s="158" t="s">
        <v>351</v>
      </c>
      <c r="G168" s="63"/>
      <c r="H168" s="28" t="s">
        <v>24</v>
      </c>
      <c r="I168" s="63"/>
      <c r="J168" s="63"/>
      <c r="K168" s="63"/>
      <c r="L168" s="63"/>
    </row>
    <row r="169">
      <c r="A169" s="30"/>
      <c r="B169" s="30"/>
      <c r="C169" s="171" t="s">
        <v>352</v>
      </c>
      <c r="D169" s="8"/>
      <c r="E169" s="8"/>
      <c r="F169" s="158"/>
      <c r="G169" s="63"/>
      <c r="H169" s="28" t="s">
        <v>24</v>
      </c>
      <c r="I169" s="63"/>
      <c r="J169" s="63"/>
      <c r="K169" s="63"/>
      <c r="L169" s="63"/>
    </row>
    <row r="170">
      <c r="A170" s="30"/>
      <c r="B170" s="30"/>
      <c r="C170" s="172" t="s">
        <v>353</v>
      </c>
      <c r="D170" s="8"/>
      <c r="E170" s="8"/>
      <c r="F170" s="173"/>
      <c r="G170" s="63"/>
      <c r="H170" s="28" t="s">
        <v>24</v>
      </c>
      <c r="I170" s="63"/>
      <c r="J170" s="63"/>
      <c r="K170" s="63"/>
      <c r="L170" s="63"/>
    </row>
    <row r="171">
      <c r="A171" s="30"/>
      <c r="B171" s="30"/>
      <c r="C171" s="174" t="s">
        <v>354</v>
      </c>
      <c r="D171" s="8"/>
      <c r="E171" s="8"/>
      <c r="F171" s="173"/>
      <c r="G171" s="63"/>
      <c r="H171" s="28" t="s">
        <v>24</v>
      </c>
      <c r="I171" s="63"/>
      <c r="J171" s="63"/>
      <c r="K171" s="63"/>
      <c r="L171" s="63"/>
    </row>
    <row r="172">
      <c r="A172" s="30"/>
      <c r="B172" s="30"/>
      <c r="C172" s="174" t="s">
        <v>355</v>
      </c>
      <c r="D172" s="8"/>
      <c r="E172" s="8"/>
      <c r="F172" s="173"/>
      <c r="G172" s="63"/>
      <c r="H172" s="28" t="s">
        <v>24</v>
      </c>
      <c r="I172" s="63"/>
      <c r="J172" s="63"/>
      <c r="K172" s="63"/>
      <c r="L172" s="63"/>
    </row>
    <row r="173">
      <c r="A173" s="30"/>
      <c r="B173" s="30"/>
      <c r="C173" s="174" t="s">
        <v>356</v>
      </c>
      <c r="D173" s="8"/>
      <c r="E173" s="8"/>
      <c r="F173" s="173"/>
      <c r="G173" s="63"/>
      <c r="H173" s="28" t="s">
        <v>24</v>
      </c>
      <c r="I173" s="63"/>
      <c r="J173" s="63"/>
      <c r="K173" s="63"/>
      <c r="L173" s="63"/>
    </row>
    <row r="174">
      <c r="A174" s="30"/>
      <c r="B174" s="30"/>
      <c r="C174" s="174" t="s">
        <v>357</v>
      </c>
      <c r="D174" s="8"/>
      <c r="E174" s="8"/>
      <c r="F174" s="173"/>
      <c r="G174" s="63"/>
      <c r="H174" s="28" t="s">
        <v>24</v>
      </c>
      <c r="I174" s="63"/>
      <c r="J174" s="63"/>
      <c r="K174" s="63"/>
      <c r="L174" s="63"/>
    </row>
    <row r="175">
      <c r="A175" s="30"/>
      <c r="B175" s="38"/>
      <c r="C175" s="166" t="s">
        <v>358</v>
      </c>
      <c r="D175" s="8"/>
      <c r="E175" s="8"/>
      <c r="F175" s="173"/>
      <c r="G175" s="63"/>
      <c r="H175" s="28" t="s">
        <v>24</v>
      </c>
      <c r="I175" s="63"/>
      <c r="J175" s="63"/>
      <c r="K175" s="63"/>
      <c r="L175" s="63"/>
    </row>
    <row r="176">
      <c r="A176" s="30"/>
      <c r="B176" s="175" t="s">
        <v>359</v>
      </c>
      <c r="C176" s="176" t="s">
        <v>360</v>
      </c>
      <c r="D176" s="8"/>
      <c r="E176" s="8"/>
      <c r="F176" s="173"/>
      <c r="G176" s="63"/>
      <c r="H176" s="167" t="s">
        <v>345</v>
      </c>
      <c r="I176" s="63"/>
      <c r="J176" s="63"/>
      <c r="K176" s="63"/>
      <c r="L176" s="63"/>
    </row>
    <row r="177">
      <c r="A177" s="38"/>
      <c r="B177" s="177"/>
      <c r="C177" s="178" t="s">
        <v>361</v>
      </c>
      <c r="D177" s="8"/>
      <c r="E177" s="8"/>
      <c r="F177" s="173"/>
      <c r="G177" s="63"/>
      <c r="H177" s="28" t="s">
        <v>24</v>
      </c>
      <c r="I177" s="63"/>
      <c r="J177" s="63"/>
      <c r="K177" s="63"/>
      <c r="L177" s="63"/>
    </row>
    <row r="178">
      <c r="A178" s="56" t="s">
        <v>362</v>
      </c>
      <c r="B178" s="179"/>
      <c r="C178" s="180" t="s">
        <v>363</v>
      </c>
      <c r="D178" s="8"/>
      <c r="E178" s="8"/>
      <c r="F178" s="18"/>
      <c r="G178" s="101"/>
      <c r="H178" s="37" t="s">
        <v>364</v>
      </c>
      <c r="I178" s="63"/>
      <c r="J178" s="101"/>
      <c r="K178" s="63"/>
      <c r="L178" s="63"/>
    </row>
    <row r="179">
      <c r="A179" s="30"/>
      <c r="B179" s="179"/>
      <c r="C179" s="181" t="s">
        <v>365</v>
      </c>
      <c r="D179" s="8"/>
      <c r="E179" s="8"/>
      <c r="F179" s="18"/>
      <c r="G179" s="101"/>
      <c r="H179" s="37" t="s">
        <v>364</v>
      </c>
      <c r="I179" s="63"/>
      <c r="J179" s="101"/>
      <c r="K179" s="63"/>
      <c r="L179" s="63"/>
    </row>
    <row r="180">
      <c r="A180" s="30"/>
      <c r="B180" s="179"/>
      <c r="C180" s="182" t="s">
        <v>366</v>
      </c>
      <c r="D180" s="8"/>
      <c r="E180" s="8"/>
      <c r="F180" s="18"/>
      <c r="G180" s="63"/>
      <c r="H180" s="37" t="s">
        <v>364</v>
      </c>
      <c r="I180" s="63"/>
      <c r="J180" s="63"/>
      <c r="K180" s="63"/>
      <c r="L180" s="63"/>
    </row>
    <row r="181">
      <c r="A181" s="30"/>
      <c r="B181" s="179"/>
      <c r="C181" s="183" t="s">
        <v>367</v>
      </c>
      <c r="D181" s="8"/>
      <c r="E181" s="8"/>
      <c r="F181" s="59" t="s">
        <v>368</v>
      </c>
      <c r="G181" s="63"/>
      <c r="H181" s="37" t="s">
        <v>364</v>
      </c>
      <c r="I181" s="63"/>
      <c r="J181" s="63"/>
      <c r="K181" s="63"/>
      <c r="L181" s="63"/>
    </row>
    <row r="182">
      <c r="A182" s="30"/>
      <c r="B182" s="179"/>
      <c r="C182" s="182" t="s">
        <v>369</v>
      </c>
      <c r="D182" s="8"/>
      <c r="E182" s="8"/>
      <c r="F182" s="59" t="s">
        <v>370</v>
      </c>
      <c r="G182" s="63"/>
      <c r="H182" s="37" t="s">
        <v>364</v>
      </c>
      <c r="I182" s="63"/>
      <c r="J182" s="63"/>
      <c r="K182" s="63"/>
      <c r="L182" s="63"/>
    </row>
    <row r="183">
      <c r="A183" s="30"/>
      <c r="B183" s="179"/>
      <c r="C183" s="182"/>
      <c r="D183" s="8"/>
      <c r="E183" s="8"/>
      <c r="F183" s="18"/>
      <c r="G183" s="63"/>
      <c r="H183" s="63"/>
      <c r="I183" s="63"/>
      <c r="J183" s="63"/>
      <c r="K183" s="63"/>
      <c r="L183" s="63"/>
    </row>
    <row r="184">
      <c r="A184" s="38"/>
      <c r="B184" s="179"/>
      <c r="C184" s="182"/>
      <c r="D184" s="8"/>
      <c r="E184" s="8"/>
      <c r="F184" s="18"/>
      <c r="G184" s="63"/>
      <c r="H184" s="63"/>
      <c r="I184" s="63"/>
      <c r="J184" s="63"/>
      <c r="K184" s="63"/>
      <c r="L184" s="63"/>
    </row>
    <row r="185">
      <c r="A185" s="56" t="s">
        <v>371</v>
      </c>
      <c r="B185" s="25"/>
      <c r="C185" s="143" t="s">
        <v>372</v>
      </c>
      <c r="D185" s="8"/>
      <c r="E185" s="8"/>
      <c r="F185" s="18"/>
      <c r="G185" s="63"/>
      <c r="H185" s="28" t="s">
        <v>24</v>
      </c>
      <c r="I185" s="63"/>
      <c r="J185" s="63"/>
      <c r="K185" s="63"/>
      <c r="L185" s="63"/>
    </row>
    <row r="186">
      <c r="A186" s="30"/>
      <c r="B186" s="25"/>
      <c r="C186" s="184" t="s">
        <v>373</v>
      </c>
      <c r="D186" s="8"/>
      <c r="E186" s="8"/>
      <c r="F186" s="18"/>
      <c r="G186" s="63"/>
      <c r="H186" s="28" t="s">
        <v>24</v>
      </c>
      <c r="I186" s="63"/>
      <c r="J186" s="63"/>
      <c r="K186" s="63"/>
      <c r="L186" s="63"/>
    </row>
    <row r="187">
      <c r="A187" s="30"/>
      <c r="B187" s="25"/>
      <c r="C187" s="54" t="s">
        <v>374</v>
      </c>
      <c r="D187" s="8"/>
      <c r="E187" s="8"/>
      <c r="F187" s="18"/>
      <c r="G187" s="63"/>
      <c r="H187" s="28" t="s">
        <v>24</v>
      </c>
      <c r="I187" s="63"/>
      <c r="J187" s="63"/>
      <c r="K187" s="63"/>
      <c r="L187" s="63"/>
    </row>
    <row r="188">
      <c r="A188" s="38"/>
      <c r="B188" s="25"/>
      <c r="C188" s="54" t="s">
        <v>375</v>
      </c>
      <c r="D188" s="8"/>
      <c r="E188" s="8"/>
      <c r="F188" s="126" t="s">
        <v>376</v>
      </c>
      <c r="G188" s="185"/>
      <c r="H188" s="28" t="s">
        <v>24</v>
      </c>
      <c r="I188" s="105"/>
      <c r="J188" s="185"/>
      <c r="K188" s="105"/>
      <c r="L188" s="105"/>
    </row>
    <row r="189">
      <c r="A189" s="62"/>
      <c r="B189" s="25">
        <v>189.0</v>
      </c>
      <c r="C189" s="25" t="s">
        <v>377</v>
      </c>
      <c r="D189" s="25"/>
      <c r="E189" s="25"/>
      <c r="F189" s="54" t="s">
        <v>80</v>
      </c>
      <c r="G189" s="64"/>
      <c r="H189" s="64">
        <v>94.0</v>
      </c>
      <c r="I189" s="64"/>
      <c r="J189" s="64"/>
      <c r="K189" s="64"/>
      <c r="L189" s="64"/>
    </row>
    <row r="190">
      <c r="A190" s="66"/>
      <c r="B190" s="8"/>
      <c r="C190" s="17"/>
      <c r="D190" s="8"/>
      <c r="E190" s="8"/>
      <c r="F190" s="8"/>
      <c r="G190" s="8"/>
      <c r="H190" s="8"/>
      <c r="I190" s="8"/>
      <c r="J190" s="8"/>
      <c r="K190" s="8"/>
      <c r="L190" s="8"/>
    </row>
    <row r="191">
      <c r="A191" s="66"/>
      <c r="B191" s="8"/>
      <c r="C191" s="17"/>
      <c r="D191" s="8"/>
      <c r="E191" s="8"/>
      <c r="F191" s="8"/>
      <c r="G191" s="8"/>
      <c r="H191" s="8"/>
      <c r="I191" s="8"/>
      <c r="J191" s="8"/>
      <c r="K191" s="8"/>
      <c r="L191" s="8"/>
    </row>
    <row r="192">
      <c r="A192" s="66"/>
      <c r="B192" s="8"/>
      <c r="C192" s="17"/>
      <c r="D192" s="8"/>
      <c r="E192" s="8"/>
      <c r="F192" s="8"/>
      <c r="G192" s="8"/>
      <c r="H192" s="8"/>
      <c r="I192" s="8"/>
      <c r="J192" s="8"/>
      <c r="K192" s="8"/>
      <c r="L192" s="8"/>
    </row>
    <row r="193">
      <c r="A193" s="66"/>
      <c r="B193" s="8"/>
      <c r="C193" s="17"/>
      <c r="D193" s="8"/>
      <c r="E193" s="8"/>
      <c r="F193" s="8"/>
      <c r="G193" s="8"/>
      <c r="H193" s="8"/>
      <c r="I193" s="8"/>
      <c r="J193" s="8"/>
      <c r="K193" s="8"/>
      <c r="L193" s="8"/>
    </row>
    <row r="194">
      <c r="A194" s="67" t="s">
        <v>378</v>
      </c>
      <c r="B194" s="68"/>
      <c r="C194" s="68"/>
      <c r="D194" s="69"/>
      <c r="E194" s="8"/>
      <c r="F194" s="8"/>
      <c r="G194" s="8"/>
      <c r="H194" s="8"/>
      <c r="I194" s="8"/>
      <c r="J194" s="8"/>
      <c r="K194" s="8"/>
      <c r="L194" s="8"/>
    </row>
    <row r="195">
      <c r="A195" s="62"/>
      <c r="B195" s="70" t="s">
        <v>5</v>
      </c>
      <c r="C195" s="70" t="s">
        <v>81</v>
      </c>
      <c r="D195" s="70" t="s">
        <v>7</v>
      </c>
      <c r="E195" s="8"/>
      <c r="F195" s="8"/>
      <c r="G195" s="8"/>
      <c r="H195" s="8"/>
      <c r="I195" s="8"/>
      <c r="J195" s="8"/>
      <c r="K195" s="8"/>
      <c r="L195" s="8"/>
    </row>
    <row r="196">
      <c r="A196" s="71" t="s">
        <v>82</v>
      </c>
      <c r="B196" s="25">
        <v>0.0</v>
      </c>
      <c r="C196" s="25">
        <v>139.0</v>
      </c>
      <c r="D196" s="25">
        <v>0.0</v>
      </c>
      <c r="E196" s="8"/>
      <c r="F196" s="8"/>
      <c r="G196" s="8"/>
      <c r="H196" s="8"/>
      <c r="I196" s="8"/>
      <c r="J196" s="8"/>
      <c r="K196" s="8"/>
      <c r="L196" s="8"/>
    </row>
    <row r="197">
      <c r="A197" s="71" t="s">
        <v>83</v>
      </c>
      <c r="B197" s="25">
        <v>0.0</v>
      </c>
      <c r="C197" s="25">
        <v>12.0</v>
      </c>
      <c r="D197" s="25">
        <v>0.0</v>
      </c>
      <c r="E197" s="8"/>
      <c r="F197" s="8"/>
      <c r="G197" s="8"/>
      <c r="H197" s="8"/>
      <c r="I197" s="8"/>
      <c r="J197" s="8"/>
      <c r="K197" s="8"/>
      <c r="L197" s="8"/>
    </row>
    <row r="198">
      <c r="A198" s="71" t="s">
        <v>84</v>
      </c>
      <c r="B198" s="25">
        <v>0.0</v>
      </c>
      <c r="C198" s="25">
        <v>0.0</v>
      </c>
      <c r="D198" s="25">
        <v>0.0</v>
      </c>
      <c r="E198" s="8"/>
      <c r="F198" s="8"/>
      <c r="G198" s="8"/>
      <c r="H198" s="8"/>
      <c r="I198" s="8"/>
      <c r="J198" s="8"/>
      <c r="K198" s="8"/>
      <c r="L198" s="8"/>
    </row>
    <row r="199">
      <c r="A199" s="71" t="s">
        <v>85</v>
      </c>
      <c r="B199" s="25">
        <v>166.0</v>
      </c>
      <c r="C199" s="25">
        <v>11.0</v>
      </c>
      <c r="D199" s="25">
        <v>0.0</v>
      </c>
      <c r="E199" s="8"/>
      <c r="F199" s="8"/>
      <c r="G199" s="8"/>
      <c r="H199" s="8"/>
      <c r="I199" s="8"/>
      <c r="J199" s="8"/>
      <c r="K199" s="8"/>
      <c r="L199" s="8"/>
    </row>
    <row r="200">
      <c r="A200" s="66"/>
      <c r="B200" s="8"/>
      <c r="C200" s="17"/>
      <c r="D200" s="8"/>
      <c r="E200" s="8"/>
      <c r="F200" s="8"/>
      <c r="G200" s="8"/>
      <c r="H200" s="8"/>
      <c r="I200" s="8"/>
      <c r="J200" s="8"/>
      <c r="K200" s="8"/>
      <c r="L200" s="8"/>
    </row>
    <row r="201">
      <c r="A201" s="66"/>
      <c r="B201" s="8"/>
      <c r="C201" s="17"/>
      <c r="D201" s="8"/>
      <c r="E201" s="8"/>
      <c r="F201" s="8"/>
      <c r="G201" s="8"/>
      <c r="H201" s="8"/>
      <c r="I201" s="8"/>
      <c r="J201" s="8"/>
      <c r="K201" s="8"/>
      <c r="L201" s="8"/>
    </row>
    <row r="202">
      <c r="A202" s="72" t="s">
        <v>86</v>
      </c>
      <c r="B202" s="68"/>
      <c r="C202" s="68"/>
      <c r="D202" s="68"/>
      <c r="E202" s="69"/>
      <c r="F202" s="8"/>
      <c r="G202" s="8"/>
      <c r="H202" s="8"/>
      <c r="I202" s="8"/>
      <c r="J202" s="8"/>
      <c r="K202" s="8"/>
      <c r="L202" s="8"/>
    </row>
    <row r="203">
      <c r="A203" s="71" t="s">
        <v>8</v>
      </c>
      <c r="B203" s="25"/>
      <c r="C203" s="73"/>
      <c r="D203" s="25"/>
      <c r="E203" s="70" t="s">
        <v>87</v>
      </c>
      <c r="F203" s="8"/>
      <c r="G203" s="8"/>
      <c r="H203" s="8"/>
      <c r="I203" s="8"/>
      <c r="J203" s="8"/>
      <c r="K203" s="8"/>
      <c r="L203" s="8"/>
    </row>
    <row r="204">
      <c r="A204" s="74" t="s">
        <v>88</v>
      </c>
      <c r="B204" s="25"/>
      <c r="C204" s="73"/>
      <c r="D204" s="25"/>
      <c r="E204" s="75" t="s">
        <v>24</v>
      </c>
      <c r="F204" s="8"/>
      <c r="G204" s="8"/>
      <c r="H204" s="8"/>
      <c r="I204" s="8"/>
      <c r="J204" s="8"/>
      <c r="K204" s="8"/>
      <c r="L204" s="8"/>
    </row>
    <row r="205">
      <c r="A205" s="76" t="s">
        <v>89</v>
      </c>
      <c r="B205" s="25"/>
      <c r="C205" s="73"/>
      <c r="D205" s="25"/>
      <c r="E205" s="77" t="s">
        <v>13</v>
      </c>
      <c r="F205" s="8"/>
      <c r="G205" s="8"/>
      <c r="H205" s="8"/>
      <c r="I205" s="8"/>
      <c r="J205" s="8"/>
      <c r="K205" s="8"/>
      <c r="L205" s="8"/>
    </row>
    <row r="206">
      <c r="A206" s="78" t="s">
        <v>90</v>
      </c>
      <c r="B206" s="25"/>
      <c r="C206" s="73"/>
      <c r="D206" s="25"/>
      <c r="E206" s="79" t="s">
        <v>91</v>
      </c>
      <c r="F206" s="8"/>
      <c r="G206" s="8"/>
      <c r="H206" s="8"/>
      <c r="I206" s="8"/>
      <c r="J206" s="8"/>
      <c r="K206" s="8"/>
      <c r="L206" s="8"/>
    </row>
    <row r="207">
      <c r="A207" s="80" t="s">
        <v>92</v>
      </c>
      <c r="B207" s="25"/>
      <c r="C207" s="73"/>
      <c r="D207" s="25"/>
      <c r="E207" s="81" t="s">
        <v>10</v>
      </c>
      <c r="F207" s="8"/>
      <c r="G207" s="8"/>
      <c r="H207" s="8"/>
      <c r="I207" s="8"/>
      <c r="J207" s="8"/>
      <c r="K207" s="8"/>
      <c r="L207" s="8"/>
    </row>
    <row r="208">
      <c r="A208" s="82" t="s">
        <v>93</v>
      </c>
      <c r="B208" s="25"/>
      <c r="C208" s="73"/>
      <c r="D208" s="25"/>
      <c r="E208" s="83" t="s">
        <v>94</v>
      </c>
      <c r="F208" s="8"/>
      <c r="G208" s="8"/>
      <c r="H208" s="8"/>
      <c r="I208" s="8"/>
      <c r="J208" s="8"/>
      <c r="K208" s="8"/>
      <c r="L208" s="8"/>
    </row>
    <row r="209">
      <c r="A209" s="84" t="s">
        <v>95</v>
      </c>
      <c r="B209" s="25"/>
      <c r="C209" s="73"/>
      <c r="D209" s="25"/>
      <c r="E209" s="85" t="s">
        <v>11</v>
      </c>
      <c r="F209" s="8"/>
      <c r="G209" s="8"/>
      <c r="H209" s="8"/>
      <c r="I209" s="8"/>
      <c r="J209" s="8"/>
      <c r="K209" s="8"/>
      <c r="L209" s="8"/>
    </row>
    <row r="210">
      <c r="A210" s="86" t="s">
        <v>96</v>
      </c>
      <c r="B210" s="25"/>
      <c r="C210" s="73"/>
      <c r="D210" s="25"/>
      <c r="E210" s="87" t="s">
        <v>97</v>
      </c>
      <c r="F210" s="8"/>
      <c r="G210" s="8"/>
      <c r="H210" s="8"/>
      <c r="I210" s="8"/>
      <c r="J210" s="8"/>
      <c r="K210" s="8"/>
      <c r="L210" s="8"/>
    </row>
    <row r="211">
      <c r="A211" s="88" t="s">
        <v>98</v>
      </c>
      <c r="B211" s="25"/>
      <c r="C211" s="73"/>
      <c r="D211" s="25"/>
      <c r="E211" s="89" t="s">
        <v>12</v>
      </c>
      <c r="F211" s="8"/>
      <c r="G211" s="8"/>
      <c r="H211" s="8"/>
      <c r="I211" s="8"/>
      <c r="J211" s="8"/>
      <c r="K211" s="8"/>
      <c r="L211" s="8"/>
    </row>
    <row r="212">
      <c r="A212" s="90" t="s">
        <v>99</v>
      </c>
      <c r="B212" s="25"/>
      <c r="C212" s="73"/>
      <c r="D212" s="25"/>
      <c r="E212" s="91" t="s">
        <v>100</v>
      </c>
      <c r="F212" s="8"/>
      <c r="G212" s="8"/>
      <c r="H212" s="8"/>
      <c r="I212" s="8"/>
      <c r="J212" s="8"/>
      <c r="K212" s="8"/>
      <c r="L212" s="8"/>
    </row>
    <row r="213">
      <c r="A213" s="92" t="s">
        <v>101</v>
      </c>
      <c r="B213" s="25"/>
      <c r="C213" s="73"/>
      <c r="D213" s="25"/>
      <c r="E213" s="25"/>
      <c r="F213" s="8"/>
      <c r="G213" s="8"/>
      <c r="H213" s="8"/>
      <c r="I213" s="8"/>
      <c r="J213" s="8"/>
      <c r="K213" s="8"/>
      <c r="L213" s="8"/>
    </row>
    <row r="214">
      <c r="A214" s="93" t="s">
        <v>102</v>
      </c>
      <c r="B214" s="25"/>
      <c r="C214" s="73"/>
      <c r="D214" s="25"/>
      <c r="E214" s="25"/>
      <c r="F214" s="8"/>
      <c r="G214" s="8"/>
      <c r="H214" s="8"/>
      <c r="I214" s="8"/>
      <c r="J214" s="8"/>
      <c r="K214" s="8"/>
      <c r="L214" s="8"/>
    </row>
    <row r="215">
      <c r="A215" s="94" t="s">
        <v>103</v>
      </c>
      <c r="B215" s="25"/>
      <c r="C215" s="73"/>
      <c r="D215" s="25"/>
      <c r="E215" s="25"/>
      <c r="F215" s="8"/>
      <c r="G215" s="8"/>
      <c r="H215" s="8"/>
      <c r="I215" s="8"/>
      <c r="J215" s="8"/>
      <c r="K215" s="8"/>
      <c r="L215" s="8"/>
    </row>
    <row r="216">
      <c r="A216" s="95" t="s">
        <v>104</v>
      </c>
      <c r="B216" s="25"/>
      <c r="C216" s="73"/>
      <c r="D216" s="25"/>
      <c r="E216" s="25"/>
      <c r="F216" s="8"/>
      <c r="G216" s="8"/>
      <c r="H216" s="8"/>
      <c r="I216" s="8"/>
      <c r="J216" s="8"/>
      <c r="K216" s="8"/>
      <c r="L216" s="8"/>
    </row>
    <row r="217">
      <c r="A217" s="96" t="s">
        <v>105</v>
      </c>
      <c r="B217" s="25"/>
      <c r="C217" s="73"/>
      <c r="D217" s="25"/>
      <c r="E217" s="25"/>
      <c r="F217" s="8"/>
      <c r="G217" s="8"/>
      <c r="H217" s="8"/>
      <c r="I217" s="8"/>
      <c r="J217" s="8"/>
      <c r="K217" s="8"/>
      <c r="L217" s="8"/>
    </row>
    <row r="218">
      <c r="A218" s="97" t="s">
        <v>106</v>
      </c>
      <c r="B218" s="25"/>
      <c r="C218" s="73"/>
      <c r="D218" s="25"/>
      <c r="E218" s="25"/>
      <c r="F218" s="8"/>
      <c r="G218" s="8"/>
      <c r="H218" s="8"/>
      <c r="I218" s="8"/>
      <c r="J218" s="8"/>
      <c r="K218" s="8"/>
      <c r="L218" s="8"/>
    </row>
    <row r="219">
      <c r="A219" s="66"/>
      <c r="B219" s="8"/>
      <c r="C219" s="17"/>
      <c r="D219" s="8"/>
      <c r="E219" s="8"/>
      <c r="F219" s="8"/>
      <c r="G219" s="8"/>
      <c r="H219" s="8"/>
      <c r="I219" s="8"/>
      <c r="J219" s="8"/>
      <c r="K219" s="8"/>
      <c r="L219" s="8"/>
    </row>
    <row r="220">
      <c r="A220" s="66"/>
      <c r="B220" s="8"/>
      <c r="C220" s="17"/>
      <c r="D220" s="8"/>
      <c r="E220" s="8"/>
      <c r="F220" s="8"/>
      <c r="G220" s="8"/>
      <c r="H220" s="8"/>
      <c r="I220" s="8"/>
      <c r="J220" s="8"/>
      <c r="K220" s="8"/>
      <c r="L220" s="8"/>
    </row>
    <row r="221">
      <c r="A221" s="66"/>
      <c r="B221" s="8"/>
      <c r="C221" s="17"/>
      <c r="D221" s="8"/>
      <c r="E221" s="8"/>
      <c r="F221" s="8"/>
      <c r="G221" s="8"/>
      <c r="H221" s="8"/>
      <c r="I221" s="8"/>
      <c r="J221" s="8"/>
      <c r="K221" s="8"/>
      <c r="L221" s="8"/>
    </row>
    <row r="222">
      <c r="A222" s="66"/>
      <c r="B222" s="8"/>
      <c r="C222" s="17"/>
      <c r="D222" s="8"/>
      <c r="E222" s="8"/>
      <c r="F222" s="8"/>
      <c r="G222" s="8"/>
      <c r="H222" s="8"/>
      <c r="I222" s="8"/>
      <c r="J222" s="8"/>
      <c r="K222" s="8"/>
      <c r="L222" s="8"/>
    </row>
    <row r="223">
      <c r="A223" s="66"/>
      <c r="B223" s="8"/>
      <c r="C223" s="17"/>
      <c r="D223" s="8"/>
      <c r="E223" s="8"/>
      <c r="F223" s="8"/>
      <c r="G223" s="8"/>
      <c r="H223" s="8"/>
      <c r="I223" s="8"/>
      <c r="J223" s="8"/>
      <c r="K223" s="8"/>
      <c r="L223" s="8"/>
    </row>
  </sheetData>
  <mergeCells count="30">
    <mergeCell ref="G1:I1"/>
    <mergeCell ref="J1:L1"/>
    <mergeCell ref="A7:A78"/>
    <mergeCell ref="B7:B9"/>
    <mergeCell ref="B10:B23"/>
    <mergeCell ref="B24:B35"/>
    <mergeCell ref="B36:B50"/>
    <mergeCell ref="B127:B130"/>
    <mergeCell ref="B131:B133"/>
    <mergeCell ref="B141:B148"/>
    <mergeCell ref="B149:B152"/>
    <mergeCell ref="B153:B157"/>
    <mergeCell ref="B158:B167"/>
    <mergeCell ref="B168:B175"/>
    <mergeCell ref="B51:B66"/>
    <mergeCell ref="B67:B78"/>
    <mergeCell ref="A79:A115"/>
    <mergeCell ref="B108:B114"/>
    <mergeCell ref="A116:A137"/>
    <mergeCell ref="B117:B119"/>
    <mergeCell ref="B120:B123"/>
    <mergeCell ref="A194:D194"/>
    <mergeCell ref="A202:E202"/>
    <mergeCell ref="A138:A140"/>
    <mergeCell ref="A141:A157"/>
    <mergeCell ref="A158:A177"/>
    <mergeCell ref="F169:F177"/>
    <mergeCell ref="B176:B177"/>
    <mergeCell ref="A178:A184"/>
    <mergeCell ref="A185:A188"/>
  </mergeCells>
  <conditionalFormatting sqref="B3:D3 G4:L4">
    <cfRule type="cellIs" dxfId="14" priority="1" stopIfTrue="1" operator="equal">
      <formula>"Anu"</formula>
    </cfRule>
  </conditionalFormatting>
  <conditionalFormatting sqref="B3:D3 G4:L4">
    <cfRule type="cellIs" dxfId="0" priority="2" stopIfTrue="1" operator="equal">
      <formula>"Amrita"</formula>
    </cfRule>
  </conditionalFormatting>
  <conditionalFormatting sqref="B3:D3 G4:L4">
    <cfRule type="cellIs" dxfId="1" priority="3" stopIfTrue="1" operator="equal">
      <formula>"Soumya"</formula>
    </cfRule>
  </conditionalFormatting>
  <conditionalFormatting sqref="B3:D3 G4:L4">
    <cfRule type="cellIs" dxfId="2" priority="4" stopIfTrue="1" operator="equal">
      <formula>"Hannah"</formula>
    </cfRule>
  </conditionalFormatting>
  <conditionalFormatting sqref="B3:D3 G4:L4">
    <cfRule type="cellIs" dxfId="3" priority="5" stopIfTrue="1" operator="equal">
      <formula>"Naga Lakshmi"</formula>
    </cfRule>
  </conditionalFormatting>
  <conditionalFormatting sqref="B3:D3 G4:L4">
    <cfRule type="cellIs" dxfId="4" priority="6" stopIfTrue="1" operator="equal">
      <formula>"Nitin"</formula>
    </cfRule>
  </conditionalFormatting>
  <conditionalFormatting sqref="B3:D3 G4:L4">
    <cfRule type="cellIs" dxfId="15" priority="7" stopIfTrue="1" operator="equal">
      <formula>"Pankhuri"</formula>
    </cfRule>
  </conditionalFormatting>
  <conditionalFormatting sqref="B3:D3 G4:L4">
    <cfRule type="cellIs" dxfId="5" priority="8" stopIfTrue="1" operator="equal">
      <formula>"Ramakrishna"</formula>
    </cfRule>
  </conditionalFormatting>
  <conditionalFormatting sqref="B3:D3 G4:L4">
    <cfRule type="cellIs" dxfId="6" priority="9" stopIfTrue="1" operator="equal">
      <formula>"Abdul"</formula>
    </cfRule>
  </conditionalFormatting>
  <conditionalFormatting sqref="B3:D3 G4:L4">
    <cfRule type="cellIs" dxfId="7" priority="10" stopIfTrue="1" operator="equal">
      <formula>"Saheli"</formula>
    </cfRule>
  </conditionalFormatting>
  <conditionalFormatting sqref="B3:D3 G4:L4">
    <cfRule type="cellIs" dxfId="8" priority="11" stopIfTrue="1" operator="equal">
      <formula>"Prachi"</formula>
    </cfRule>
  </conditionalFormatting>
  <conditionalFormatting sqref="B3:D3 G4:L4">
    <cfRule type="cellIs" dxfId="9" priority="12" stopIfTrue="1" operator="equal">
      <formula>"Vishnu"</formula>
    </cfRule>
  </conditionalFormatting>
  <conditionalFormatting sqref="B3:D3 G4:L4">
    <cfRule type="cellIs" dxfId="10" priority="13" stopIfTrue="1" operator="equal">
      <formula>"Ivy"</formula>
    </cfRule>
  </conditionalFormatting>
  <conditionalFormatting sqref="B3:D3 G4:L4">
    <cfRule type="cellIs" dxfId="11" priority="14" stopIfTrue="1" operator="equal">
      <formula>"Rupal"</formula>
    </cfRule>
  </conditionalFormatting>
  <conditionalFormatting sqref="B3:D3 G4:L4">
    <cfRule type="cellIs" dxfId="25" priority="15" stopIfTrue="1" operator="equal">
      <formula>"Utkarsh"</formula>
    </cfRule>
  </conditionalFormatting>
  <conditionalFormatting sqref="G6:G188 H6:I12 J6:K188 L6:L12 H15:H19 I15:I70 L15:L70 H21:H37 H39:H42 H44:H57 H59:H60 H62 H64:H70 I73:I124 L73:L124 H78:H119 H123:H188 I127:I188 L127:L188 F160">
    <cfRule type="cellIs" dxfId="16" priority="16" stopIfTrue="1" operator="equal">
      <formula>"OK"</formula>
    </cfRule>
  </conditionalFormatting>
  <conditionalFormatting sqref="B3:D3 G4:L4 G6:G188 H6:I12 J6:K188 L6:L12 H15:H19 I15:I70 L15:L70 H21:H37 H39:H42 H44:H57 H59:H60 H62 H64:H70 I73:I124 L73:L124 H78:H119 H123:H188 I127:I188 L127:L188 F160">
    <cfRule type="cellIs" dxfId="18" priority="17" stopIfTrue="1" operator="equal">
      <formula>"Not Tested"</formula>
    </cfRule>
  </conditionalFormatting>
  <conditionalFormatting sqref="G6:G188 H6:I12 J6:K188 L6:L12 H15:H19 I15:I70 L15:L70 H21:H37 H39:H42 H44:H57 H59:H60 H62 H64:H70 I73:I124 L73:L124 H78:H119 H123:H188 I127:I188 L127:L188 F160">
    <cfRule type="cellIs" dxfId="19" priority="18" stopIfTrue="1" operator="equal">
      <formula>"N/A"</formula>
    </cfRule>
  </conditionalFormatting>
  <conditionalFormatting sqref="B2:D2 G3:L3">
    <cfRule type="containsText" dxfId="20" priority="19" stopIfTrue="1" operator="containsText" text="Incomplete">
      <formula>NOT(ISERROR(SEARCH(("Incomplete"),(B2))))</formula>
    </cfRule>
  </conditionalFormatting>
  <conditionalFormatting sqref="B2:D2 G3:L3">
    <cfRule type="containsText" dxfId="17" priority="20" stopIfTrue="1" operator="containsText" text="Broken">
      <formula>NOT(ISERROR(SEARCH(("Broken"),(B2))))</formula>
    </cfRule>
  </conditionalFormatting>
  <conditionalFormatting sqref="B2:D2 G3:L3">
    <cfRule type="containsText" dxfId="21" priority="21" stopIfTrue="1" operator="containsText" text="Some problems">
      <formula>NOT(ISERROR(SEARCH(("Some problems"),(B2))))</formula>
    </cfRule>
  </conditionalFormatting>
  <conditionalFormatting sqref="B2:D2 G3:L3">
    <cfRule type="containsText" dxfId="22" priority="22" stopIfTrue="1" operator="containsText" text="All OK">
      <formula>NOT(ISERROR(SEARCH(("All OK"),(B2))))</formula>
    </cfRule>
  </conditionalFormatting>
  <conditionalFormatting sqref="B2:D2 G3:L3">
    <cfRule type="containsText" dxfId="23" priority="23" stopIfTrue="1" operator="containsText" text="In Progress">
      <formula>NOT(ISERROR(SEARCH(("In Progress"),(B2))))</formula>
    </cfRule>
  </conditionalFormatting>
  <conditionalFormatting sqref="B2:D2 G3:L3">
    <cfRule type="containsText" dxfId="24" priority="24" stopIfTrue="1" operator="containsText" text="Not Tested">
      <formula>NOT(ISERROR(SEARCH(("Not Tested"),(B2))))</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379</v>
      </c>
      <c r="B1" s="2" t="s">
        <v>108</v>
      </c>
      <c r="C1" s="108" t="s">
        <v>109</v>
      </c>
      <c r="D1" s="2" t="s">
        <v>110</v>
      </c>
      <c r="E1" s="3"/>
      <c r="F1" s="4" t="s">
        <v>0</v>
      </c>
      <c r="G1" s="5" t="s">
        <v>379</v>
      </c>
      <c r="H1" s="6"/>
      <c r="I1" s="7"/>
      <c r="J1" s="5" t="s">
        <v>380</v>
      </c>
      <c r="K1" s="6"/>
      <c r="L1" s="7"/>
      <c r="M1" s="5" t="s">
        <v>381</v>
      </c>
      <c r="N1" s="6"/>
      <c r="O1" s="7"/>
    </row>
    <row r="2">
      <c r="A2" s="9"/>
      <c r="B2" s="10" t="s">
        <v>382</v>
      </c>
      <c r="C2" s="186" t="s">
        <v>10</v>
      </c>
      <c r="D2" s="10" t="s">
        <v>10</v>
      </c>
      <c r="E2" s="8"/>
      <c r="F2" s="11" t="s">
        <v>4</v>
      </c>
      <c r="G2" s="12" t="s">
        <v>5</v>
      </c>
      <c r="H2" s="12" t="s">
        <v>6</v>
      </c>
      <c r="I2" s="12" t="s">
        <v>7</v>
      </c>
      <c r="J2" s="12" t="s">
        <v>5</v>
      </c>
      <c r="K2" s="12" t="s">
        <v>6</v>
      </c>
      <c r="L2" s="12" t="s">
        <v>7</v>
      </c>
      <c r="M2" s="12" t="s">
        <v>5</v>
      </c>
      <c r="N2" s="12" t="s">
        <v>6</v>
      </c>
      <c r="O2" s="12" t="s">
        <v>7</v>
      </c>
    </row>
    <row r="3">
      <c r="A3" s="13" t="s">
        <v>8</v>
      </c>
      <c r="B3" s="10" t="s">
        <v>103</v>
      </c>
      <c r="C3" s="186" t="s">
        <v>13</v>
      </c>
      <c r="D3" s="10" t="s">
        <v>105</v>
      </c>
      <c r="E3" s="8"/>
      <c r="F3" s="14" t="s">
        <v>9</v>
      </c>
      <c r="G3" s="15" t="s">
        <v>12</v>
      </c>
      <c r="H3" s="15" t="s">
        <v>10</v>
      </c>
      <c r="I3" s="15" t="s">
        <v>10</v>
      </c>
      <c r="J3" s="15" t="s">
        <v>10</v>
      </c>
      <c r="K3" s="15" t="s">
        <v>12</v>
      </c>
      <c r="L3" s="15" t="s">
        <v>10</v>
      </c>
      <c r="M3" s="15" t="s">
        <v>10</v>
      </c>
      <c r="N3" s="15" t="s">
        <v>10</v>
      </c>
      <c r="O3" s="15" t="s">
        <v>12</v>
      </c>
    </row>
    <row r="4">
      <c r="A4" s="16"/>
      <c r="B4" s="8"/>
      <c r="C4" s="17"/>
      <c r="D4" s="8"/>
      <c r="E4" s="8"/>
      <c r="F4" s="18"/>
      <c r="G4" s="15" t="s">
        <v>103</v>
      </c>
      <c r="H4" s="15" t="s">
        <v>13</v>
      </c>
      <c r="I4" s="15" t="s">
        <v>105</v>
      </c>
      <c r="J4" s="15" t="s">
        <v>13</v>
      </c>
      <c r="K4" s="15" t="s">
        <v>105</v>
      </c>
      <c r="L4" s="15" t="s">
        <v>103</v>
      </c>
      <c r="M4" s="15" t="s">
        <v>13</v>
      </c>
      <c r="N4" s="15" t="s">
        <v>105</v>
      </c>
      <c r="O4" s="15" t="s">
        <v>103</v>
      </c>
    </row>
    <row r="5">
      <c r="A5" s="19" t="s">
        <v>15</v>
      </c>
      <c r="B5" s="20" t="s">
        <v>16</v>
      </c>
      <c r="C5" s="187" t="s">
        <v>17</v>
      </c>
      <c r="D5" s="21" t="s">
        <v>18</v>
      </c>
      <c r="E5" s="21" t="s">
        <v>19</v>
      </c>
      <c r="F5" s="22" t="s">
        <v>20</v>
      </c>
      <c r="G5" s="23"/>
      <c r="H5" s="23"/>
      <c r="I5" s="23"/>
      <c r="J5" s="23"/>
      <c r="K5" s="23"/>
      <c r="L5" s="23"/>
      <c r="M5" s="23"/>
      <c r="N5" s="23"/>
      <c r="O5" s="23"/>
    </row>
    <row r="6">
      <c r="A6" s="109"/>
      <c r="B6" s="110" t="s">
        <v>165</v>
      </c>
      <c r="C6" s="188" t="s">
        <v>166</v>
      </c>
      <c r="D6" s="8"/>
      <c r="E6" s="8"/>
      <c r="F6" s="112"/>
      <c r="G6" s="63"/>
      <c r="H6" s="28"/>
      <c r="I6" s="123"/>
      <c r="J6" s="63"/>
      <c r="K6" s="28"/>
      <c r="L6" s="123"/>
      <c r="M6" s="63"/>
      <c r="N6" s="63"/>
      <c r="O6" s="123"/>
    </row>
    <row r="7">
      <c r="A7" s="56" t="s">
        <v>32</v>
      </c>
      <c r="B7" s="113" t="s">
        <v>167</v>
      </c>
      <c r="C7" s="189" t="s">
        <v>168</v>
      </c>
      <c r="D7" s="8"/>
      <c r="E7" s="8"/>
      <c r="F7" s="112"/>
      <c r="G7" s="63"/>
      <c r="H7" s="28"/>
      <c r="I7" s="123"/>
      <c r="J7" s="63"/>
      <c r="K7" s="28"/>
      <c r="L7" s="123"/>
      <c r="M7" s="63"/>
      <c r="N7" s="63"/>
      <c r="O7" s="123"/>
    </row>
    <row r="8">
      <c r="A8" s="30"/>
      <c r="B8" s="115"/>
      <c r="C8" s="189" t="s">
        <v>169</v>
      </c>
      <c r="D8" s="8"/>
      <c r="E8" s="8"/>
      <c r="F8" s="112"/>
      <c r="G8" s="63"/>
      <c r="H8" s="28"/>
      <c r="I8" s="123"/>
      <c r="J8" s="63"/>
      <c r="K8" s="28"/>
      <c r="L8" s="123"/>
      <c r="M8" s="63"/>
      <c r="N8" s="63"/>
      <c r="O8" s="123"/>
    </row>
    <row r="9">
      <c r="A9" s="30"/>
      <c r="B9" s="116"/>
      <c r="C9" s="189" t="s">
        <v>170</v>
      </c>
      <c r="D9" s="8"/>
      <c r="E9" s="8"/>
      <c r="F9" s="112"/>
      <c r="G9" s="63"/>
      <c r="H9" s="28"/>
      <c r="I9" s="123"/>
      <c r="J9" s="63"/>
      <c r="K9" s="28"/>
      <c r="L9" s="123"/>
      <c r="M9" s="63"/>
      <c r="N9" s="63"/>
      <c r="O9" s="123"/>
    </row>
    <row r="10">
      <c r="A10" s="30"/>
      <c r="B10" s="117" t="s">
        <v>171</v>
      </c>
      <c r="C10" s="190" t="s">
        <v>172</v>
      </c>
      <c r="D10" s="8"/>
      <c r="E10" s="8"/>
      <c r="F10" s="112"/>
      <c r="G10" s="63"/>
      <c r="H10" s="28"/>
      <c r="I10" s="123"/>
      <c r="J10" s="63"/>
      <c r="K10" s="28"/>
      <c r="L10" s="123"/>
      <c r="M10" s="63"/>
      <c r="N10" s="63"/>
      <c r="O10" s="123"/>
    </row>
    <row r="11">
      <c r="A11" s="30"/>
      <c r="B11" s="115"/>
      <c r="C11" s="191" t="s">
        <v>173</v>
      </c>
      <c r="D11" s="8"/>
      <c r="E11" s="8"/>
      <c r="F11" s="112"/>
      <c r="G11" s="63"/>
      <c r="H11" s="28"/>
      <c r="I11" s="123"/>
      <c r="J11" s="63"/>
      <c r="K11" s="28"/>
      <c r="L11" s="123"/>
      <c r="M11" s="63"/>
      <c r="N11" s="63"/>
      <c r="O11" s="123"/>
    </row>
    <row r="12">
      <c r="A12" s="30"/>
      <c r="B12" s="115"/>
      <c r="C12" s="191" t="s">
        <v>383</v>
      </c>
      <c r="D12" s="8"/>
      <c r="E12" s="8"/>
      <c r="F12" s="112"/>
      <c r="G12" s="63"/>
      <c r="H12" s="28"/>
      <c r="I12" s="123"/>
      <c r="J12" s="63"/>
      <c r="K12" s="28"/>
      <c r="L12" s="123"/>
      <c r="M12" s="63"/>
      <c r="N12" s="63"/>
      <c r="O12" s="123"/>
    </row>
    <row r="13">
      <c r="A13" s="30"/>
      <c r="B13" s="115"/>
      <c r="C13" s="190" t="s">
        <v>191</v>
      </c>
      <c r="D13" s="8"/>
      <c r="E13" s="8"/>
      <c r="F13" s="112" t="s">
        <v>192</v>
      </c>
      <c r="G13" s="63"/>
      <c r="H13" s="28"/>
      <c r="I13" s="123"/>
      <c r="J13" s="63"/>
      <c r="K13" s="28" t="s">
        <v>24</v>
      </c>
      <c r="L13" s="123"/>
      <c r="M13" s="63"/>
      <c r="N13" s="63"/>
      <c r="O13" s="123"/>
    </row>
    <row r="14">
      <c r="A14" s="30"/>
      <c r="B14" s="116"/>
      <c r="C14" s="190" t="s">
        <v>193</v>
      </c>
      <c r="D14" s="8"/>
      <c r="E14" s="8"/>
      <c r="F14" s="124" t="s">
        <v>194</v>
      </c>
      <c r="G14" s="63"/>
      <c r="H14" s="28"/>
      <c r="I14" s="63"/>
      <c r="J14" s="63"/>
      <c r="K14" s="28" t="s">
        <v>24</v>
      </c>
      <c r="L14" s="63"/>
      <c r="M14" s="63"/>
      <c r="N14" s="63"/>
      <c r="O14" s="63"/>
    </row>
    <row r="15">
      <c r="A15" s="30"/>
      <c r="B15" s="31" t="s">
        <v>195</v>
      </c>
      <c r="C15" s="190" t="s">
        <v>196</v>
      </c>
      <c r="D15" s="8"/>
      <c r="E15" s="8"/>
      <c r="F15" s="8"/>
      <c r="G15" s="63"/>
      <c r="H15" s="28"/>
      <c r="I15" s="63"/>
      <c r="J15" s="63"/>
      <c r="K15" s="28"/>
      <c r="L15" s="63"/>
      <c r="M15" s="63"/>
      <c r="N15" s="63"/>
      <c r="O15" s="63"/>
    </row>
    <row r="16">
      <c r="A16" s="30"/>
      <c r="B16" s="30"/>
      <c r="C16" s="192" t="s">
        <v>197</v>
      </c>
      <c r="D16" s="8"/>
      <c r="E16" s="8"/>
      <c r="F16" s="126" t="s">
        <v>198</v>
      </c>
      <c r="G16" s="63"/>
      <c r="H16" s="28"/>
      <c r="I16" s="63"/>
      <c r="J16" s="63"/>
      <c r="K16" s="28"/>
      <c r="L16" s="63"/>
      <c r="M16" s="63"/>
      <c r="N16" s="63"/>
      <c r="O16" s="63"/>
    </row>
    <row r="17">
      <c r="A17" s="30"/>
      <c r="B17" s="30"/>
      <c r="C17" s="192" t="s">
        <v>199</v>
      </c>
      <c r="D17" s="8"/>
      <c r="E17" s="8"/>
      <c r="F17" s="127" t="s">
        <v>200</v>
      </c>
      <c r="G17" s="63"/>
      <c r="H17" s="28"/>
      <c r="I17" s="63"/>
      <c r="J17" s="63"/>
      <c r="K17" s="28"/>
      <c r="L17" s="63"/>
      <c r="M17" s="63"/>
      <c r="N17" s="63"/>
      <c r="O17" s="63"/>
    </row>
    <row r="18">
      <c r="A18" s="30"/>
      <c r="B18" s="30"/>
      <c r="C18" s="192" t="s">
        <v>201</v>
      </c>
      <c r="D18" s="8"/>
      <c r="E18" s="8"/>
      <c r="F18" s="8"/>
      <c r="G18" s="63"/>
      <c r="H18" s="28"/>
      <c r="I18" s="63"/>
      <c r="J18" s="63"/>
      <c r="K18" s="28"/>
      <c r="L18" s="63"/>
      <c r="M18" s="63"/>
      <c r="N18" s="63"/>
      <c r="O18" s="63"/>
    </row>
    <row r="19">
      <c r="A19" s="30"/>
      <c r="B19" s="30"/>
      <c r="C19" s="192" t="s">
        <v>202</v>
      </c>
      <c r="D19" s="8"/>
      <c r="E19" s="8"/>
      <c r="F19" s="8"/>
      <c r="G19" s="63"/>
      <c r="H19" s="28"/>
      <c r="I19" s="63"/>
      <c r="J19" s="63"/>
      <c r="K19" s="28"/>
      <c r="L19" s="63"/>
      <c r="M19" s="63"/>
      <c r="N19" s="63"/>
      <c r="O19" s="63"/>
    </row>
    <row r="20">
      <c r="A20" s="30"/>
      <c r="B20" s="30"/>
      <c r="C20" s="193" t="s">
        <v>209</v>
      </c>
      <c r="D20" s="130"/>
      <c r="E20" s="8"/>
      <c r="F20" s="8"/>
      <c r="G20" s="63"/>
      <c r="H20" s="28"/>
      <c r="I20" s="63"/>
      <c r="J20" s="63"/>
      <c r="K20" s="28"/>
      <c r="L20" s="63"/>
      <c r="M20" s="63"/>
      <c r="N20" s="63"/>
      <c r="O20" s="63"/>
    </row>
    <row r="21">
      <c r="A21" s="30"/>
      <c r="B21" s="30"/>
      <c r="C21" s="193" t="s">
        <v>210</v>
      </c>
      <c r="D21" s="131"/>
      <c r="E21" s="8"/>
      <c r="F21" s="18"/>
      <c r="G21" s="63"/>
      <c r="H21" s="28"/>
      <c r="I21" s="63"/>
      <c r="J21" s="63"/>
      <c r="K21" s="28" t="s">
        <v>24</v>
      </c>
      <c r="L21" s="63"/>
      <c r="M21" s="63"/>
      <c r="N21" s="63"/>
      <c r="O21" s="63"/>
    </row>
    <row r="22">
      <c r="A22" s="30"/>
      <c r="B22" s="30"/>
      <c r="C22" s="193" t="s">
        <v>384</v>
      </c>
      <c r="D22" s="131"/>
      <c r="E22" s="8"/>
      <c r="F22" s="18"/>
      <c r="G22" s="63"/>
      <c r="H22" s="63"/>
      <c r="I22" s="63"/>
      <c r="J22" s="63"/>
      <c r="K22" s="63"/>
      <c r="L22" s="63"/>
      <c r="M22" s="63"/>
      <c r="N22" s="63"/>
      <c r="O22" s="63"/>
    </row>
    <row r="23">
      <c r="A23" s="30"/>
      <c r="B23" s="38"/>
      <c r="C23" s="190" t="s">
        <v>213</v>
      </c>
      <c r="D23" s="8"/>
      <c r="E23" s="8"/>
      <c r="F23" s="18"/>
      <c r="G23" s="63"/>
      <c r="H23" s="112"/>
      <c r="I23" s="63"/>
      <c r="J23" s="63"/>
      <c r="K23" s="112" t="s">
        <v>385</v>
      </c>
      <c r="L23" s="63"/>
      <c r="M23" s="63"/>
      <c r="N23" s="63"/>
      <c r="O23" s="63"/>
    </row>
    <row r="24">
      <c r="A24" s="30"/>
      <c r="B24" s="133" t="s">
        <v>214</v>
      </c>
      <c r="C24" s="192" t="s">
        <v>215</v>
      </c>
      <c r="D24" s="8"/>
      <c r="E24" s="8"/>
      <c r="F24" s="18"/>
      <c r="G24" s="63"/>
      <c r="H24" s="63"/>
      <c r="I24" s="63"/>
      <c r="J24" s="63"/>
      <c r="K24" s="63"/>
      <c r="L24" s="63"/>
      <c r="M24" s="63"/>
      <c r="N24" s="63"/>
      <c r="O24" s="63"/>
    </row>
    <row r="25">
      <c r="A25" s="30"/>
      <c r="B25" s="30"/>
      <c r="C25" s="190" t="s">
        <v>216</v>
      </c>
      <c r="D25" s="8"/>
      <c r="E25" s="8"/>
      <c r="F25" s="59" t="s">
        <v>217</v>
      </c>
      <c r="G25" s="63"/>
      <c r="H25" s="63"/>
      <c r="I25" s="28"/>
      <c r="J25" s="63"/>
      <c r="K25" s="63"/>
      <c r="L25" s="28" t="s">
        <v>24</v>
      </c>
      <c r="M25" s="63"/>
      <c r="N25" s="63"/>
      <c r="O25" s="63"/>
    </row>
    <row r="26">
      <c r="A26" s="30"/>
      <c r="B26" s="30"/>
      <c r="C26" s="191" t="s">
        <v>173</v>
      </c>
      <c r="D26" s="8"/>
      <c r="E26" s="8"/>
      <c r="F26" s="18"/>
      <c r="G26" s="63"/>
      <c r="H26" s="63"/>
      <c r="I26" s="63"/>
      <c r="J26" s="63"/>
      <c r="K26" s="63"/>
      <c r="L26" s="63"/>
      <c r="M26" s="63"/>
      <c r="N26" s="63"/>
      <c r="O26" s="63"/>
    </row>
    <row r="27">
      <c r="A27" s="30"/>
      <c r="B27" s="30"/>
      <c r="C27" s="192" t="s">
        <v>219</v>
      </c>
      <c r="D27" s="8"/>
      <c r="E27" s="8"/>
      <c r="F27" s="18"/>
      <c r="G27" s="63"/>
      <c r="H27" s="63"/>
      <c r="I27" s="63"/>
      <c r="J27" s="63"/>
      <c r="K27" s="63"/>
      <c r="L27" s="63"/>
      <c r="M27" s="63"/>
      <c r="N27" s="63"/>
      <c r="O27" s="63"/>
    </row>
    <row r="28">
      <c r="A28" s="30"/>
      <c r="B28" s="30"/>
      <c r="C28" s="194" t="s">
        <v>221</v>
      </c>
      <c r="D28" s="8"/>
      <c r="E28" s="8"/>
      <c r="F28" s="18"/>
      <c r="G28" s="63"/>
      <c r="H28" s="63"/>
      <c r="I28" s="63"/>
      <c r="J28" s="63"/>
      <c r="K28" s="63"/>
      <c r="L28" s="63"/>
      <c r="M28" s="63"/>
      <c r="N28" s="63"/>
      <c r="O28" s="63"/>
    </row>
    <row r="29">
      <c r="A29" s="30"/>
      <c r="B29" s="30"/>
      <c r="C29" s="195" t="s">
        <v>222</v>
      </c>
      <c r="D29" s="8"/>
      <c r="E29" s="8"/>
      <c r="F29" s="18"/>
      <c r="G29" s="63"/>
      <c r="H29" s="63"/>
      <c r="I29" s="63"/>
      <c r="J29" s="63"/>
      <c r="K29" s="63"/>
      <c r="L29" s="63"/>
      <c r="M29" s="63"/>
      <c r="N29" s="63"/>
      <c r="O29" s="63"/>
    </row>
    <row r="30">
      <c r="A30" s="30"/>
      <c r="B30" s="30"/>
      <c r="C30" s="196" t="s">
        <v>223</v>
      </c>
      <c r="D30" s="8"/>
      <c r="E30" s="8"/>
      <c r="F30" s="18"/>
      <c r="G30" s="63"/>
      <c r="H30" s="63"/>
      <c r="I30" s="63"/>
      <c r="J30" s="63"/>
      <c r="K30" s="63"/>
      <c r="L30" s="63"/>
      <c r="M30" s="63"/>
      <c r="N30" s="63"/>
      <c r="O30" s="63"/>
    </row>
    <row r="31">
      <c r="A31" s="30"/>
      <c r="B31" s="30"/>
      <c r="C31" s="192" t="s">
        <v>230</v>
      </c>
      <c r="D31" s="8"/>
      <c r="E31" s="8"/>
      <c r="F31" s="18"/>
      <c r="G31" s="63"/>
      <c r="H31" s="63"/>
      <c r="I31" s="63"/>
      <c r="J31" s="63"/>
      <c r="K31" s="63"/>
      <c r="L31" s="63"/>
      <c r="M31" s="63"/>
      <c r="N31" s="63"/>
      <c r="O31" s="63"/>
    </row>
    <row r="32">
      <c r="A32" s="30"/>
      <c r="B32" s="30"/>
      <c r="C32" s="197" t="s">
        <v>201</v>
      </c>
      <c r="D32" s="8"/>
      <c r="E32" s="8"/>
      <c r="F32" s="18"/>
      <c r="G32" s="63"/>
      <c r="H32" s="63"/>
      <c r="I32" s="63"/>
      <c r="J32" s="63"/>
      <c r="K32" s="63"/>
      <c r="L32" s="63"/>
      <c r="M32" s="63"/>
      <c r="N32" s="63"/>
      <c r="O32" s="63"/>
    </row>
    <row r="33">
      <c r="A33" s="30"/>
      <c r="B33" s="30"/>
      <c r="C33" s="198" t="s">
        <v>202</v>
      </c>
      <c r="D33" s="8"/>
      <c r="E33" s="8"/>
      <c r="F33" s="18"/>
      <c r="G33" s="63"/>
      <c r="H33" s="63"/>
      <c r="I33" s="63"/>
      <c r="J33" s="63"/>
      <c r="K33" s="63"/>
      <c r="L33" s="63"/>
      <c r="M33" s="63"/>
      <c r="N33" s="63"/>
      <c r="O33" s="63"/>
    </row>
    <row r="34">
      <c r="A34" s="30"/>
      <c r="B34" s="30"/>
      <c r="C34" s="191" t="s">
        <v>231</v>
      </c>
      <c r="D34" s="8"/>
      <c r="E34" s="8"/>
      <c r="F34" s="18"/>
      <c r="G34" s="63"/>
      <c r="H34" s="63"/>
      <c r="I34" s="63"/>
      <c r="J34" s="63"/>
      <c r="K34" s="63"/>
      <c r="L34" s="63"/>
      <c r="M34" s="63"/>
      <c r="N34" s="63"/>
      <c r="O34" s="63"/>
    </row>
    <row r="35">
      <c r="A35" s="30"/>
      <c r="B35" s="38"/>
      <c r="C35" s="191" t="s">
        <v>232</v>
      </c>
      <c r="D35" s="8"/>
      <c r="E35" s="8"/>
      <c r="F35" s="18"/>
      <c r="G35" s="63"/>
      <c r="H35" s="63"/>
      <c r="I35" s="63"/>
      <c r="J35" s="63"/>
      <c r="K35" s="63"/>
      <c r="L35" s="63"/>
      <c r="M35" s="63"/>
      <c r="N35" s="63"/>
      <c r="O35" s="63"/>
    </row>
    <row r="36">
      <c r="A36" s="30"/>
      <c r="B36" s="31" t="s">
        <v>233</v>
      </c>
      <c r="C36" s="191" t="s">
        <v>386</v>
      </c>
      <c r="D36" s="8"/>
      <c r="E36" s="8"/>
      <c r="F36" s="18"/>
      <c r="G36" s="63"/>
      <c r="H36" s="63"/>
      <c r="I36" s="63"/>
      <c r="J36" s="63"/>
      <c r="K36" s="63"/>
      <c r="L36" s="63"/>
      <c r="M36" s="63"/>
      <c r="N36" s="63"/>
      <c r="O36" s="63"/>
    </row>
    <row r="37">
      <c r="A37" s="30"/>
      <c r="B37" s="30"/>
      <c r="C37" s="191" t="s">
        <v>234</v>
      </c>
      <c r="D37" s="8"/>
      <c r="E37" s="8"/>
      <c r="F37" s="18"/>
      <c r="G37" s="63"/>
      <c r="H37" s="63"/>
      <c r="I37" s="63"/>
      <c r="J37" s="63"/>
      <c r="K37" s="63"/>
      <c r="L37" s="63"/>
      <c r="M37" s="63"/>
      <c r="N37" s="63"/>
      <c r="O37" s="63"/>
    </row>
    <row r="38">
      <c r="A38" s="30"/>
      <c r="B38" s="30"/>
      <c r="C38" s="191" t="s">
        <v>240</v>
      </c>
      <c r="D38" s="8"/>
      <c r="E38" s="8"/>
      <c r="F38" s="18"/>
      <c r="G38" s="63"/>
      <c r="H38" s="63"/>
      <c r="I38" s="63"/>
      <c r="J38" s="63"/>
      <c r="K38" s="63"/>
      <c r="L38" s="63"/>
      <c r="M38" s="63"/>
      <c r="N38" s="63"/>
      <c r="O38" s="63"/>
    </row>
    <row r="39">
      <c r="A39" s="30"/>
      <c r="B39" s="30"/>
      <c r="C39" s="191" t="s">
        <v>242</v>
      </c>
      <c r="D39" s="8"/>
      <c r="E39" s="8"/>
      <c r="F39" s="18"/>
      <c r="G39" s="63"/>
      <c r="H39" s="63"/>
      <c r="I39" s="63"/>
      <c r="J39" s="63"/>
      <c r="K39" s="63"/>
      <c r="L39" s="63"/>
      <c r="M39" s="63"/>
      <c r="N39" s="63"/>
      <c r="O39" s="63"/>
    </row>
    <row r="40">
      <c r="A40" s="30"/>
      <c r="B40" s="38"/>
      <c r="C40" s="191" t="s">
        <v>245</v>
      </c>
      <c r="D40" s="8"/>
      <c r="E40" s="8"/>
      <c r="F40" s="18"/>
      <c r="G40" s="63"/>
      <c r="H40" s="63"/>
      <c r="I40" s="63"/>
      <c r="J40" s="63"/>
      <c r="K40" s="63"/>
      <c r="L40" s="63"/>
      <c r="M40" s="63"/>
      <c r="N40" s="63"/>
      <c r="O40" s="63"/>
    </row>
    <row r="41">
      <c r="A41" s="30"/>
      <c r="B41" s="31" t="s">
        <v>252</v>
      </c>
      <c r="C41" s="191" t="s">
        <v>253</v>
      </c>
      <c r="D41" s="8"/>
      <c r="E41" s="8"/>
      <c r="F41" s="59" t="s">
        <v>254</v>
      </c>
      <c r="G41" s="63"/>
      <c r="H41" s="63"/>
      <c r="I41" s="63"/>
      <c r="J41" s="63"/>
      <c r="K41" s="63"/>
      <c r="L41" s="63"/>
      <c r="M41" s="63"/>
      <c r="N41" s="63"/>
      <c r="O41" s="63"/>
    </row>
    <row r="42">
      <c r="A42" s="30"/>
      <c r="B42" s="30"/>
      <c r="C42" s="191" t="s">
        <v>255</v>
      </c>
      <c r="D42" s="8"/>
      <c r="E42" s="8"/>
      <c r="F42" s="18"/>
      <c r="G42" s="63"/>
      <c r="H42" s="63"/>
      <c r="I42" s="63"/>
      <c r="J42" s="63"/>
      <c r="K42" s="63"/>
      <c r="L42" s="63"/>
      <c r="M42" s="63"/>
      <c r="N42" s="63"/>
      <c r="O42" s="63"/>
    </row>
    <row r="43">
      <c r="A43" s="30"/>
      <c r="B43" s="30"/>
      <c r="C43" s="191" t="s">
        <v>257</v>
      </c>
      <c r="D43" s="8"/>
      <c r="E43" s="8"/>
      <c r="F43" s="18"/>
      <c r="G43" s="63"/>
      <c r="H43" s="63"/>
      <c r="I43" s="63"/>
      <c r="J43" s="63"/>
      <c r="K43" s="63"/>
      <c r="L43" s="63"/>
      <c r="M43" s="63"/>
      <c r="N43" s="63"/>
      <c r="O43" s="63"/>
    </row>
    <row r="44">
      <c r="A44" s="30"/>
      <c r="B44" s="30"/>
      <c r="C44" s="191" t="s">
        <v>387</v>
      </c>
      <c r="D44" s="8"/>
      <c r="E44" s="8"/>
      <c r="F44" s="18"/>
      <c r="G44" s="63"/>
      <c r="H44" s="63"/>
      <c r="I44" s="63"/>
      <c r="J44" s="63"/>
      <c r="K44" s="63"/>
      <c r="L44" s="63"/>
      <c r="M44" s="63"/>
      <c r="N44" s="63"/>
      <c r="O44" s="63"/>
    </row>
    <row r="45">
      <c r="A45" s="38"/>
      <c r="B45" s="38"/>
      <c r="C45" s="191"/>
      <c r="D45" s="8"/>
      <c r="E45" s="8"/>
      <c r="F45" s="18"/>
      <c r="G45" s="63"/>
      <c r="H45" s="63"/>
      <c r="I45" s="63"/>
      <c r="J45" s="63"/>
      <c r="K45" s="63"/>
      <c r="L45" s="63"/>
      <c r="M45" s="63"/>
      <c r="N45" s="63"/>
      <c r="O45" s="63"/>
    </row>
    <row r="46">
      <c r="A46" s="56" t="s">
        <v>267</v>
      </c>
      <c r="B46" s="25"/>
      <c r="C46" s="199" t="s">
        <v>268</v>
      </c>
      <c r="D46" s="8"/>
      <c r="E46" s="8"/>
      <c r="F46" s="147"/>
      <c r="G46" s="28" t="s">
        <v>24</v>
      </c>
      <c r="H46" s="28"/>
      <c r="I46" s="28"/>
      <c r="J46" s="28"/>
      <c r="K46" s="28" t="s">
        <v>24</v>
      </c>
      <c r="L46" s="28"/>
      <c r="M46" s="28"/>
      <c r="N46" s="63"/>
      <c r="O46" s="28" t="s">
        <v>24</v>
      </c>
    </row>
    <row r="47">
      <c r="A47" s="30"/>
      <c r="B47" s="25"/>
      <c r="C47" s="199" t="s">
        <v>269</v>
      </c>
      <c r="D47" s="8"/>
      <c r="E47" s="8"/>
      <c r="F47" s="18"/>
      <c r="G47" s="28" t="s">
        <v>24</v>
      </c>
      <c r="H47" s="28"/>
      <c r="I47" s="28"/>
      <c r="J47" s="28"/>
      <c r="K47" s="28" t="s">
        <v>24</v>
      </c>
      <c r="L47" s="28"/>
      <c r="M47" s="28"/>
      <c r="N47" s="63"/>
      <c r="O47" s="28" t="s">
        <v>24</v>
      </c>
    </row>
    <row r="48">
      <c r="A48" s="30"/>
      <c r="B48" s="25"/>
      <c r="C48" s="199" t="s">
        <v>271</v>
      </c>
      <c r="D48" s="8"/>
      <c r="E48" s="8"/>
      <c r="F48" s="18"/>
      <c r="G48" s="28" t="s">
        <v>24</v>
      </c>
      <c r="H48" s="28"/>
      <c r="I48" s="28"/>
      <c r="J48" s="28"/>
      <c r="K48" s="28" t="s">
        <v>24</v>
      </c>
      <c r="L48" s="28"/>
      <c r="M48" s="28"/>
      <c r="N48" s="63"/>
      <c r="O48" s="28" t="s">
        <v>24</v>
      </c>
    </row>
    <row r="49">
      <c r="A49" s="30"/>
      <c r="B49" s="25"/>
      <c r="C49" s="199" t="s">
        <v>388</v>
      </c>
      <c r="D49" s="8"/>
      <c r="E49" s="8"/>
      <c r="F49" s="18"/>
      <c r="G49" s="101" t="s">
        <v>389</v>
      </c>
      <c r="H49" s="101"/>
      <c r="I49" s="28"/>
      <c r="J49" s="28"/>
      <c r="K49" s="101" t="s">
        <v>389</v>
      </c>
      <c r="L49" s="28"/>
      <c r="M49" s="28"/>
      <c r="N49" s="63"/>
      <c r="O49" s="28" t="s">
        <v>24</v>
      </c>
    </row>
    <row r="50">
      <c r="A50" s="30"/>
      <c r="B50" s="25"/>
      <c r="C50" s="199" t="s">
        <v>273</v>
      </c>
      <c r="D50" s="8"/>
      <c r="E50" s="8"/>
      <c r="F50" s="18"/>
      <c r="G50" s="28"/>
      <c r="H50" s="28"/>
      <c r="I50" s="28"/>
      <c r="J50" s="28"/>
      <c r="K50" s="28" t="s">
        <v>24</v>
      </c>
      <c r="L50" s="28"/>
      <c r="M50" s="28"/>
      <c r="N50" s="63"/>
      <c r="O50" s="28" t="s">
        <v>24</v>
      </c>
    </row>
    <row r="51">
      <c r="A51" s="30"/>
      <c r="B51" s="25"/>
      <c r="C51" s="199" t="s">
        <v>274</v>
      </c>
      <c r="D51" s="8"/>
      <c r="E51" s="8"/>
      <c r="F51" s="149" t="s">
        <v>275</v>
      </c>
      <c r="G51" s="28" t="s">
        <v>24</v>
      </c>
      <c r="H51" s="28"/>
      <c r="I51" s="28"/>
      <c r="J51" s="28"/>
      <c r="K51" s="28" t="s">
        <v>24</v>
      </c>
      <c r="L51" s="28"/>
      <c r="M51" s="28"/>
      <c r="N51" s="63"/>
      <c r="O51" s="28" t="s">
        <v>24</v>
      </c>
    </row>
    <row r="52">
      <c r="A52" s="30"/>
      <c r="B52" s="25"/>
      <c r="C52" s="199" t="s">
        <v>276</v>
      </c>
      <c r="D52" s="8"/>
      <c r="E52" s="8"/>
      <c r="F52" s="18"/>
      <c r="G52" s="28" t="s">
        <v>24</v>
      </c>
      <c r="H52" s="28"/>
      <c r="I52" s="28"/>
      <c r="J52" s="28"/>
      <c r="K52" s="28" t="s">
        <v>24</v>
      </c>
      <c r="L52" s="28"/>
      <c r="M52" s="28"/>
      <c r="N52" s="63"/>
      <c r="O52" s="28" t="s">
        <v>24</v>
      </c>
    </row>
    <row r="53">
      <c r="A53" s="30"/>
      <c r="B53" s="25"/>
      <c r="C53" s="199" t="s">
        <v>277</v>
      </c>
      <c r="D53" s="8"/>
      <c r="E53" s="8"/>
      <c r="F53" s="18"/>
      <c r="G53" s="28" t="s">
        <v>24</v>
      </c>
      <c r="H53" s="28"/>
      <c r="I53" s="28"/>
      <c r="J53" s="28"/>
      <c r="K53" s="28" t="s">
        <v>24</v>
      </c>
      <c r="L53" s="28"/>
      <c r="M53" s="28"/>
      <c r="N53" s="63"/>
      <c r="O53" s="28" t="s">
        <v>24</v>
      </c>
    </row>
    <row r="54">
      <c r="A54" s="30"/>
      <c r="B54" s="25"/>
      <c r="C54" s="199" t="s">
        <v>278</v>
      </c>
      <c r="D54" s="8"/>
      <c r="E54" s="8"/>
      <c r="F54" s="18"/>
      <c r="G54" s="28"/>
      <c r="H54" s="28"/>
      <c r="I54" s="28"/>
      <c r="J54" s="28"/>
      <c r="K54" s="28" t="s">
        <v>24</v>
      </c>
      <c r="L54" s="28"/>
      <c r="M54" s="28"/>
      <c r="N54" s="63"/>
      <c r="O54" s="28" t="s">
        <v>24</v>
      </c>
    </row>
    <row r="55">
      <c r="A55" s="30"/>
      <c r="B55" s="25"/>
      <c r="C55" s="199" t="s">
        <v>279</v>
      </c>
      <c r="D55" s="8"/>
      <c r="E55" s="8"/>
      <c r="F55" s="18"/>
      <c r="G55" s="28"/>
      <c r="H55" s="28"/>
      <c r="I55" s="28"/>
      <c r="J55" s="28"/>
      <c r="K55" s="28" t="s">
        <v>24</v>
      </c>
      <c r="L55" s="28"/>
      <c r="M55" s="28"/>
      <c r="N55" s="63"/>
      <c r="O55" s="28" t="s">
        <v>24</v>
      </c>
    </row>
    <row r="56">
      <c r="A56" s="30"/>
      <c r="B56" s="25"/>
      <c r="C56" s="199" t="s">
        <v>280</v>
      </c>
      <c r="D56" s="8"/>
      <c r="E56" s="8"/>
      <c r="F56" s="59"/>
      <c r="G56" s="28"/>
      <c r="H56" s="28"/>
      <c r="I56" s="28"/>
      <c r="J56" s="28"/>
      <c r="K56" s="28" t="s">
        <v>24</v>
      </c>
      <c r="L56" s="28"/>
      <c r="M56" s="28"/>
      <c r="N56" s="63"/>
      <c r="O56" s="28" t="s">
        <v>24</v>
      </c>
    </row>
    <row r="57">
      <c r="A57" s="30"/>
      <c r="B57" s="25"/>
      <c r="C57" s="200" t="s">
        <v>281</v>
      </c>
      <c r="D57" s="8"/>
      <c r="E57" s="8"/>
      <c r="F57" s="59" t="s">
        <v>282</v>
      </c>
      <c r="G57" s="28"/>
      <c r="H57" s="28"/>
      <c r="I57" s="28"/>
      <c r="J57" s="28"/>
      <c r="K57" s="28" t="s">
        <v>24</v>
      </c>
      <c r="L57" s="28"/>
      <c r="M57" s="28"/>
      <c r="N57" s="63"/>
      <c r="O57" s="28" t="s">
        <v>24</v>
      </c>
    </row>
    <row r="58">
      <c r="A58" s="30"/>
      <c r="B58" s="25"/>
      <c r="C58" s="199" t="s">
        <v>283</v>
      </c>
      <c r="D58" s="8"/>
      <c r="E58" s="8"/>
      <c r="F58" s="18"/>
      <c r="G58" s="28"/>
      <c r="H58" s="28"/>
      <c r="I58" s="28"/>
      <c r="J58" s="28"/>
      <c r="K58" s="28" t="s">
        <v>24</v>
      </c>
      <c r="L58" s="28"/>
      <c r="M58" s="28"/>
      <c r="N58" s="63"/>
      <c r="O58" s="28" t="s">
        <v>24</v>
      </c>
    </row>
    <row r="59">
      <c r="A59" s="30"/>
      <c r="B59" s="25"/>
      <c r="C59" s="199" t="s">
        <v>284</v>
      </c>
      <c r="D59" s="8"/>
      <c r="E59" s="8"/>
      <c r="F59" s="18"/>
      <c r="G59" s="28"/>
      <c r="H59" s="28"/>
      <c r="I59" s="28"/>
      <c r="J59" s="28"/>
      <c r="K59" s="28" t="s">
        <v>24</v>
      </c>
      <c r="L59" s="28"/>
      <c r="M59" s="28"/>
      <c r="N59" s="63"/>
      <c r="O59" s="28" t="s">
        <v>24</v>
      </c>
    </row>
    <row r="60">
      <c r="A60" s="30"/>
      <c r="B60" s="25"/>
      <c r="C60" s="199" t="s">
        <v>285</v>
      </c>
      <c r="D60" s="8"/>
      <c r="E60" s="8"/>
      <c r="F60" s="18"/>
      <c r="G60" s="63"/>
      <c r="H60" s="28"/>
      <c r="I60" s="28"/>
      <c r="J60" s="63"/>
      <c r="K60" s="28" t="s">
        <v>24</v>
      </c>
      <c r="L60" s="28"/>
      <c r="M60" s="63"/>
      <c r="N60" s="63"/>
      <c r="O60" s="28" t="s">
        <v>24</v>
      </c>
    </row>
    <row r="61">
      <c r="A61" s="30"/>
      <c r="B61" s="25"/>
      <c r="C61" s="199" t="s">
        <v>286</v>
      </c>
      <c r="D61" s="8"/>
      <c r="E61" s="8"/>
      <c r="F61" s="18"/>
      <c r="G61" s="63"/>
      <c r="H61" s="28"/>
      <c r="I61" s="28"/>
      <c r="J61" s="63"/>
      <c r="K61" s="28" t="s">
        <v>24</v>
      </c>
      <c r="L61" s="28"/>
      <c r="M61" s="63"/>
      <c r="N61" s="63"/>
      <c r="O61" s="28" t="s">
        <v>24</v>
      </c>
    </row>
    <row r="62">
      <c r="A62" s="30"/>
      <c r="B62" s="25"/>
      <c r="C62" s="199" t="s">
        <v>287</v>
      </c>
      <c r="D62" s="8"/>
      <c r="E62" s="8"/>
      <c r="F62" s="59" t="s">
        <v>288</v>
      </c>
      <c r="G62" s="63"/>
      <c r="H62" s="28"/>
      <c r="I62" s="28"/>
      <c r="J62" s="63"/>
      <c r="K62" s="28" t="s">
        <v>24</v>
      </c>
      <c r="L62" s="28"/>
      <c r="M62" s="63"/>
      <c r="N62" s="63"/>
      <c r="O62" s="28"/>
    </row>
    <row r="63">
      <c r="A63" s="30"/>
      <c r="B63" s="25"/>
      <c r="C63" s="199" t="s">
        <v>289</v>
      </c>
      <c r="D63" s="8"/>
      <c r="E63" s="8"/>
      <c r="F63" s="59"/>
      <c r="G63" s="63"/>
      <c r="H63" s="28"/>
      <c r="I63" s="28"/>
      <c r="J63" s="63"/>
      <c r="K63" s="28" t="s">
        <v>24</v>
      </c>
      <c r="L63" s="28"/>
      <c r="M63" s="63"/>
      <c r="N63" s="63"/>
      <c r="O63" s="28"/>
    </row>
    <row r="64">
      <c r="A64" s="30"/>
      <c r="B64" s="25"/>
      <c r="C64" s="199" t="s">
        <v>290</v>
      </c>
      <c r="D64" s="8"/>
      <c r="E64" s="8"/>
      <c r="F64" s="59" t="s">
        <v>291</v>
      </c>
      <c r="G64" s="63"/>
      <c r="H64" s="28"/>
      <c r="I64" s="28"/>
      <c r="J64" s="63"/>
      <c r="K64" s="28" t="s">
        <v>24</v>
      </c>
      <c r="L64" s="28"/>
      <c r="M64" s="63"/>
      <c r="N64" s="63"/>
      <c r="O64" s="28" t="s">
        <v>24</v>
      </c>
    </row>
    <row r="65">
      <c r="A65" s="30"/>
      <c r="B65" s="25"/>
      <c r="C65" s="199" t="s">
        <v>292</v>
      </c>
      <c r="D65" s="8"/>
      <c r="E65" s="8"/>
      <c r="F65" s="18"/>
      <c r="G65" s="63"/>
      <c r="H65" s="101"/>
      <c r="I65" s="28"/>
      <c r="J65" s="63"/>
      <c r="K65" s="101" t="s">
        <v>390</v>
      </c>
      <c r="L65" s="28"/>
      <c r="M65" s="63"/>
      <c r="N65" s="63"/>
      <c r="O65" s="28" t="s">
        <v>24</v>
      </c>
    </row>
    <row r="66">
      <c r="A66" s="30"/>
      <c r="B66" s="25"/>
      <c r="C66" s="199" t="s">
        <v>293</v>
      </c>
      <c r="D66" s="8"/>
      <c r="E66" s="8"/>
      <c r="F66" s="18"/>
      <c r="G66" s="63"/>
      <c r="H66" s="28"/>
      <c r="I66" s="28"/>
      <c r="J66" s="63"/>
      <c r="K66" s="28" t="s">
        <v>24</v>
      </c>
      <c r="L66" s="28"/>
      <c r="M66" s="63"/>
      <c r="N66" s="63"/>
      <c r="O66" s="28" t="s">
        <v>24</v>
      </c>
    </row>
    <row r="67">
      <c r="A67" s="30"/>
      <c r="B67" s="25"/>
      <c r="C67" s="199" t="s">
        <v>294</v>
      </c>
      <c r="D67" s="8"/>
      <c r="E67" s="8"/>
      <c r="F67" s="59" t="s">
        <v>295</v>
      </c>
      <c r="G67" s="63"/>
      <c r="H67" s="28"/>
      <c r="I67" s="28"/>
      <c r="J67" s="63"/>
      <c r="K67" s="28" t="s">
        <v>24</v>
      </c>
      <c r="L67" s="28"/>
      <c r="M67" s="63"/>
      <c r="N67" s="63"/>
      <c r="O67" s="28" t="s">
        <v>24</v>
      </c>
    </row>
    <row r="68">
      <c r="A68" s="30"/>
      <c r="B68" s="25"/>
      <c r="C68" s="199" t="s">
        <v>296</v>
      </c>
      <c r="D68" s="8"/>
      <c r="E68" s="8"/>
      <c r="F68" s="59" t="s">
        <v>295</v>
      </c>
      <c r="G68" s="63"/>
      <c r="H68" s="28"/>
      <c r="I68" s="28"/>
      <c r="J68" s="63"/>
      <c r="K68" s="28" t="s">
        <v>24</v>
      </c>
      <c r="L68" s="28"/>
      <c r="M68" s="63"/>
      <c r="N68" s="63"/>
      <c r="O68" s="28" t="s">
        <v>24</v>
      </c>
    </row>
    <row r="69">
      <c r="A69" s="30"/>
      <c r="B69" s="25"/>
      <c r="C69" s="200" t="s">
        <v>297</v>
      </c>
      <c r="D69" s="8"/>
      <c r="E69" s="8"/>
      <c r="F69" s="18"/>
      <c r="G69" s="63"/>
      <c r="H69" s="28"/>
      <c r="I69" s="28"/>
      <c r="J69" s="63"/>
      <c r="K69" s="28" t="s">
        <v>24</v>
      </c>
      <c r="L69" s="28"/>
      <c r="M69" s="63"/>
      <c r="N69" s="63"/>
      <c r="O69" s="28" t="s">
        <v>24</v>
      </c>
    </row>
    <row r="70">
      <c r="A70" s="30"/>
      <c r="B70" s="25"/>
      <c r="C70" s="200" t="s">
        <v>298</v>
      </c>
      <c r="D70" s="8"/>
      <c r="E70" s="8"/>
      <c r="F70" s="18"/>
      <c r="G70" s="63"/>
      <c r="H70" s="28"/>
      <c r="I70" s="28"/>
      <c r="J70" s="63"/>
      <c r="K70" s="28" t="s">
        <v>24</v>
      </c>
      <c r="L70" s="28"/>
      <c r="M70" s="63"/>
      <c r="N70" s="63"/>
      <c r="O70" s="28" t="s">
        <v>24</v>
      </c>
    </row>
    <row r="71">
      <c r="A71" s="30"/>
      <c r="B71" s="25"/>
      <c r="C71" s="201" t="s">
        <v>299</v>
      </c>
      <c r="D71" s="8"/>
      <c r="E71" s="8"/>
      <c r="F71" s="18"/>
      <c r="G71" s="63"/>
      <c r="H71" s="28"/>
      <c r="I71" s="28"/>
      <c r="J71" s="63"/>
      <c r="K71" s="28" t="s">
        <v>24</v>
      </c>
      <c r="L71" s="28"/>
      <c r="M71" s="63"/>
      <c r="N71" s="63"/>
      <c r="O71" s="28" t="s">
        <v>24</v>
      </c>
    </row>
    <row r="72">
      <c r="A72" s="30"/>
      <c r="B72" s="25"/>
      <c r="C72" s="200" t="s">
        <v>300</v>
      </c>
      <c r="D72" s="8"/>
      <c r="E72" s="8"/>
      <c r="F72" s="18"/>
      <c r="G72" s="63"/>
      <c r="H72" s="28"/>
      <c r="I72" s="28"/>
      <c r="J72" s="63"/>
      <c r="K72" s="28" t="s">
        <v>24</v>
      </c>
      <c r="L72" s="28"/>
      <c r="M72" s="63"/>
      <c r="N72" s="63"/>
      <c r="O72" s="28" t="s">
        <v>24</v>
      </c>
    </row>
    <row r="73">
      <c r="A73" s="30"/>
      <c r="B73" s="25"/>
      <c r="C73" s="202" t="s">
        <v>301</v>
      </c>
      <c r="D73" s="8"/>
      <c r="E73" s="8"/>
      <c r="F73" s="18"/>
      <c r="G73" s="63"/>
      <c r="H73" s="28"/>
      <c r="I73" s="63"/>
      <c r="J73" s="63"/>
      <c r="K73" s="28" t="s">
        <v>24</v>
      </c>
      <c r="L73" s="63"/>
      <c r="M73" s="63"/>
      <c r="N73" s="63"/>
      <c r="O73" s="63"/>
    </row>
    <row r="74">
      <c r="A74" s="30"/>
      <c r="B74" s="25"/>
      <c r="C74" s="199" t="s">
        <v>302</v>
      </c>
      <c r="D74" s="8"/>
      <c r="E74" s="8"/>
      <c r="F74" s="18"/>
      <c r="G74" s="63"/>
      <c r="H74" s="28"/>
      <c r="I74" s="63"/>
      <c r="J74" s="63"/>
      <c r="K74" s="28" t="s">
        <v>24</v>
      </c>
      <c r="L74" s="63"/>
      <c r="M74" s="63"/>
      <c r="N74" s="63"/>
      <c r="O74" s="63"/>
    </row>
    <row r="75">
      <c r="A75" s="30"/>
      <c r="B75" s="25"/>
      <c r="C75" s="199" t="s">
        <v>391</v>
      </c>
      <c r="D75" s="8"/>
      <c r="E75" s="8"/>
      <c r="F75" s="18"/>
      <c r="G75" s="63"/>
      <c r="H75" s="28"/>
      <c r="I75" s="63"/>
      <c r="J75" s="63"/>
      <c r="K75" s="28" t="s">
        <v>24</v>
      </c>
      <c r="L75" s="63"/>
      <c r="M75" s="63"/>
      <c r="N75" s="63"/>
      <c r="O75" s="63"/>
    </row>
    <row r="76">
      <c r="A76" s="38"/>
      <c r="B76" s="25"/>
      <c r="C76" s="199" t="s">
        <v>312</v>
      </c>
      <c r="D76" s="8"/>
      <c r="E76" s="8"/>
      <c r="F76" s="18"/>
      <c r="G76" s="63"/>
      <c r="H76" s="28"/>
      <c r="I76" s="63"/>
      <c r="J76" s="63"/>
      <c r="K76" s="28" t="s">
        <v>24</v>
      </c>
      <c r="L76" s="63"/>
      <c r="M76" s="63"/>
      <c r="N76" s="63"/>
      <c r="O76" s="63"/>
    </row>
    <row r="77">
      <c r="A77" s="56" t="s">
        <v>125</v>
      </c>
      <c r="B77" s="25"/>
      <c r="C77" s="199" t="s">
        <v>21</v>
      </c>
      <c r="D77" s="8"/>
      <c r="E77" s="8"/>
      <c r="F77" s="18"/>
      <c r="G77" s="63"/>
      <c r="H77" s="63"/>
      <c r="I77" s="63"/>
      <c r="J77" s="63"/>
      <c r="K77" s="63"/>
      <c r="L77" s="63"/>
      <c r="M77" s="63"/>
      <c r="N77" s="63"/>
      <c r="O77" s="63"/>
    </row>
    <row r="78">
      <c r="A78" s="30"/>
      <c r="B78" s="42" t="s">
        <v>392</v>
      </c>
      <c r="C78" s="188" t="s">
        <v>393</v>
      </c>
      <c r="D78" s="8"/>
      <c r="E78" s="8"/>
      <c r="F78" s="99"/>
      <c r="G78" s="28"/>
      <c r="H78" s="28"/>
      <c r="I78" s="28"/>
      <c r="J78" s="28"/>
      <c r="K78" s="28" t="s">
        <v>24</v>
      </c>
      <c r="L78" s="28"/>
      <c r="M78" s="28"/>
      <c r="N78" s="63"/>
      <c r="O78" s="28" t="s">
        <v>24</v>
      </c>
    </row>
    <row r="79">
      <c r="A79" s="30"/>
      <c r="B79" s="31" t="s">
        <v>25</v>
      </c>
      <c r="C79" s="154" t="s">
        <v>26</v>
      </c>
      <c r="D79" s="8"/>
      <c r="E79" s="8"/>
      <c r="F79" s="99" t="s">
        <v>27</v>
      </c>
      <c r="G79" s="63"/>
      <c r="H79" s="34"/>
      <c r="I79" s="34"/>
      <c r="J79" s="63"/>
      <c r="K79" s="34" t="s">
        <v>24</v>
      </c>
      <c r="L79" s="34"/>
      <c r="M79" s="63"/>
      <c r="N79" s="63"/>
      <c r="O79" s="34"/>
    </row>
    <row r="80">
      <c r="A80" s="30"/>
      <c r="B80" s="30"/>
      <c r="C80" s="154" t="s">
        <v>394</v>
      </c>
      <c r="D80" s="8"/>
      <c r="E80" s="8"/>
      <c r="F80" s="59" t="s">
        <v>30</v>
      </c>
      <c r="G80" s="63"/>
      <c r="H80" s="37"/>
      <c r="I80" s="37"/>
      <c r="J80" s="63"/>
      <c r="K80" s="37" t="s">
        <v>364</v>
      </c>
      <c r="L80" s="37"/>
      <c r="M80" s="63"/>
      <c r="N80" s="153"/>
      <c r="O80" s="104"/>
    </row>
    <row r="81">
      <c r="A81" s="30"/>
      <c r="B81" s="38"/>
      <c r="C81" s="154" t="s">
        <v>31</v>
      </c>
      <c r="D81" s="8"/>
      <c r="E81" s="8"/>
      <c r="F81" s="18"/>
      <c r="G81" s="63"/>
      <c r="H81" s="39"/>
      <c r="I81" s="47"/>
      <c r="J81" s="63"/>
      <c r="K81" s="39" t="s">
        <v>24</v>
      </c>
      <c r="L81" s="47"/>
      <c r="M81" s="63"/>
      <c r="N81" s="153"/>
      <c r="O81" s="47"/>
    </row>
    <row r="82">
      <c r="A82" s="30"/>
      <c r="B82" s="31" t="s">
        <v>32</v>
      </c>
      <c r="C82" s="154" t="s">
        <v>33</v>
      </c>
      <c r="D82" s="8"/>
      <c r="E82" s="8"/>
      <c r="F82" s="59" t="s">
        <v>34</v>
      </c>
      <c r="G82" s="63"/>
      <c r="H82" s="124"/>
      <c r="I82" s="47"/>
      <c r="J82" s="63"/>
      <c r="K82" s="124" t="s">
        <v>194</v>
      </c>
      <c r="L82" s="47"/>
      <c r="M82" s="63"/>
      <c r="N82" s="153"/>
      <c r="O82" s="47"/>
    </row>
    <row r="83">
      <c r="A83" s="30"/>
      <c r="B83" s="30"/>
      <c r="C83" s="203" t="s">
        <v>35</v>
      </c>
      <c r="D83" s="8"/>
      <c r="E83" s="8"/>
      <c r="F83" s="99" t="s">
        <v>114</v>
      </c>
      <c r="G83" s="63"/>
      <c r="H83" s="124"/>
      <c r="I83" s="47"/>
      <c r="J83" s="63"/>
      <c r="K83" s="124" t="s">
        <v>194</v>
      </c>
      <c r="L83" s="47"/>
      <c r="M83" s="63"/>
      <c r="N83" s="153"/>
      <c r="O83" s="47"/>
    </row>
    <row r="84">
      <c r="A84" s="30"/>
      <c r="B84" s="30"/>
      <c r="C84" s="154" t="s">
        <v>38</v>
      </c>
      <c r="D84" s="8"/>
      <c r="E84" s="8"/>
      <c r="F84" s="44"/>
      <c r="G84" s="63"/>
      <c r="H84" s="124"/>
      <c r="I84" s="104"/>
      <c r="J84" s="63"/>
      <c r="K84" s="124" t="s">
        <v>194</v>
      </c>
      <c r="L84" s="104"/>
      <c r="M84" s="63"/>
      <c r="N84" s="153"/>
      <c r="O84" s="104"/>
    </row>
    <row r="85">
      <c r="A85" s="30"/>
      <c r="B85" s="38"/>
      <c r="C85" s="154" t="s">
        <v>39</v>
      </c>
      <c r="D85" s="8"/>
      <c r="E85" s="8"/>
      <c r="F85" s="45" t="s">
        <v>40</v>
      </c>
      <c r="G85" s="63"/>
      <c r="H85" s="153"/>
      <c r="I85" s="47"/>
      <c r="J85" s="63"/>
      <c r="K85" s="153"/>
      <c r="L85" s="47"/>
      <c r="M85" s="63"/>
      <c r="N85" s="153"/>
      <c r="O85" s="47"/>
    </row>
    <row r="86">
      <c r="A86" s="30"/>
      <c r="B86" s="42" t="s">
        <v>41</v>
      </c>
      <c r="C86" s="154" t="s">
        <v>42</v>
      </c>
      <c r="D86" s="8"/>
      <c r="E86" s="8"/>
      <c r="F86" s="18"/>
      <c r="G86" s="63"/>
      <c r="H86" s="39"/>
      <c r="I86" s="47"/>
      <c r="J86" s="63"/>
      <c r="K86" s="39" t="s">
        <v>24</v>
      </c>
      <c r="L86" s="47"/>
      <c r="M86" s="63"/>
      <c r="N86" s="153"/>
      <c r="O86" s="47"/>
    </row>
    <row r="87">
      <c r="A87" s="30"/>
      <c r="B87" s="32"/>
      <c r="C87" s="154" t="s">
        <v>136</v>
      </c>
      <c r="D87" s="8"/>
      <c r="E87" s="8"/>
      <c r="F87" s="49"/>
      <c r="G87" s="63"/>
      <c r="H87" s="39"/>
      <c r="I87" s="104"/>
      <c r="J87" s="63"/>
      <c r="K87" s="39" t="s">
        <v>24</v>
      </c>
      <c r="L87" s="104"/>
      <c r="M87" s="63"/>
      <c r="N87" s="153"/>
      <c r="O87" s="104"/>
    </row>
    <row r="88">
      <c r="A88" s="30"/>
      <c r="B88" s="32" t="s">
        <v>45</v>
      </c>
      <c r="C88" s="154" t="s">
        <v>46</v>
      </c>
      <c r="D88" s="8"/>
      <c r="E88" s="8"/>
      <c r="F88" s="49" t="s">
        <v>48</v>
      </c>
      <c r="G88" s="63"/>
      <c r="H88" s="39"/>
      <c r="I88" s="104"/>
      <c r="J88" s="63"/>
      <c r="K88" s="39" t="s">
        <v>24</v>
      </c>
      <c r="L88" s="104"/>
      <c r="M88" s="63"/>
      <c r="N88" s="153"/>
      <c r="O88" s="104"/>
    </row>
    <row r="89">
      <c r="A89" s="30"/>
      <c r="B89" s="51" t="s">
        <v>49</v>
      </c>
      <c r="C89" s="154" t="s">
        <v>50</v>
      </c>
      <c r="D89" s="8"/>
      <c r="E89" s="8"/>
      <c r="F89" s="18"/>
      <c r="G89" s="63"/>
      <c r="H89" s="39"/>
      <c r="I89" s="47"/>
      <c r="J89" s="63"/>
      <c r="K89" s="39" t="s">
        <v>24</v>
      </c>
      <c r="L89" s="47"/>
      <c r="M89" s="63"/>
      <c r="N89" s="153"/>
      <c r="O89" s="47"/>
    </row>
    <row r="90">
      <c r="A90" s="30"/>
      <c r="B90" s="30"/>
      <c r="C90" s="154" t="s">
        <v>51</v>
      </c>
      <c r="D90" s="8"/>
      <c r="E90" s="8"/>
      <c r="F90" s="49" t="s">
        <v>52</v>
      </c>
      <c r="G90" s="63"/>
      <c r="H90" s="39"/>
      <c r="I90" s="52"/>
      <c r="J90" s="63"/>
      <c r="K90" s="39" t="s">
        <v>24</v>
      </c>
      <c r="L90" s="52"/>
      <c r="M90" s="63"/>
      <c r="N90" s="153"/>
      <c r="O90" s="52"/>
    </row>
    <row r="91">
      <c r="A91" s="30"/>
      <c r="B91" s="30"/>
      <c r="C91" s="154" t="s">
        <v>53</v>
      </c>
      <c r="D91" s="8"/>
      <c r="E91" s="8"/>
      <c r="F91" s="18"/>
      <c r="G91" s="63"/>
      <c r="H91" s="39"/>
      <c r="I91" s="52"/>
      <c r="J91" s="63"/>
      <c r="K91" s="39" t="s">
        <v>24</v>
      </c>
      <c r="L91" s="52"/>
      <c r="M91" s="63"/>
      <c r="N91" s="153"/>
      <c r="O91" s="52"/>
    </row>
    <row r="92">
      <c r="A92" s="30"/>
      <c r="B92" s="38"/>
      <c r="C92" s="154" t="s">
        <v>54</v>
      </c>
      <c r="D92" s="8"/>
      <c r="E92" s="8"/>
      <c r="F92" s="18"/>
      <c r="G92" s="63"/>
      <c r="H92" s="28"/>
      <c r="I92" s="53"/>
      <c r="J92" s="63"/>
      <c r="K92" s="28" t="s">
        <v>24</v>
      </c>
      <c r="L92" s="53"/>
      <c r="M92" s="63"/>
      <c r="N92" s="63"/>
      <c r="O92" s="53"/>
    </row>
    <row r="93">
      <c r="A93" s="30"/>
      <c r="B93" s="51" t="s">
        <v>55</v>
      </c>
      <c r="C93" s="154" t="s">
        <v>139</v>
      </c>
      <c r="D93" s="8"/>
      <c r="E93" s="8"/>
      <c r="F93" s="18"/>
      <c r="G93" s="63"/>
      <c r="H93" s="63"/>
      <c r="I93" s="28"/>
      <c r="J93" s="63"/>
      <c r="K93" s="63"/>
      <c r="L93" s="28"/>
      <c r="M93" s="63"/>
      <c r="N93" s="63"/>
      <c r="O93" s="28"/>
    </row>
    <row r="94">
      <c r="A94" s="30"/>
      <c r="B94" s="30"/>
      <c r="C94" s="154" t="s">
        <v>140</v>
      </c>
      <c r="D94" s="8"/>
      <c r="E94" s="8"/>
      <c r="F94" s="18"/>
      <c r="G94" s="63"/>
      <c r="H94" s="63"/>
      <c r="I94" s="28"/>
      <c r="J94" s="63"/>
      <c r="K94" s="63"/>
      <c r="L94" s="28"/>
      <c r="M94" s="63"/>
      <c r="N94" s="63"/>
      <c r="O94" s="28"/>
    </row>
    <row r="95">
      <c r="A95" s="30"/>
      <c r="B95" s="38"/>
      <c r="C95" s="204" t="s">
        <v>141</v>
      </c>
      <c r="D95" s="8"/>
      <c r="E95" s="8"/>
      <c r="F95" s="18"/>
      <c r="G95" s="63"/>
      <c r="H95" s="28"/>
      <c r="I95" s="47"/>
      <c r="J95" s="63"/>
      <c r="K95" s="28" t="s">
        <v>24</v>
      </c>
      <c r="L95" s="47"/>
      <c r="M95" s="63"/>
      <c r="N95" s="63"/>
      <c r="O95" s="47"/>
    </row>
    <row r="96">
      <c r="A96" s="30"/>
      <c r="B96" s="32" t="s">
        <v>60</v>
      </c>
      <c r="C96" s="154" t="s">
        <v>61</v>
      </c>
      <c r="D96" s="8"/>
      <c r="E96" s="8"/>
      <c r="F96" s="18"/>
      <c r="G96" s="63"/>
      <c r="H96" s="112"/>
      <c r="I96" s="63"/>
      <c r="J96" s="63"/>
      <c r="K96" s="112" t="s">
        <v>385</v>
      </c>
      <c r="L96" s="63"/>
      <c r="M96" s="63"/>
      <c r="N96" s="63"/>
      <c r="O96" s="63"/>
    </row>
    <row r="97">
      <c r="A97" s="30"/>
      <c r="B97" s="25"/>
      <c r="C97" s="154" t="s">
        <v>142</v>
      </c>
      <c r="D97" s="8"/>
      <c r="E97" s="8"/>
      <c r="F97" s="18"/>
      <c r="G97" s="63"/>
      <c r="H97" s="112"/>
      <c r="I97" s="63"/>
      <c r="J97" s="63"/>
      <c r="K97" s="112" t="s">
        <v>385</v>
      </c>
      <c r="L97" s="63"/>
      <c r="M97" s="63"/>
      <c r="N97" s="63"/>
      <c r="O97" s="63"/>
    </row>
    <row r="98">
      <c r="A98" s="30"/>
      <c r="B98" s="32" t="s">
        <v>63</v>
      </c>
      <c r="C98" s="154" t="s">
        <v>64</v>
      </c>
      <c r="D98" s="8"/>
      <c r="E98" s="8"/>
      <c r="F98" s="49" t="s">
        <v>65</v>
      </c>
      <c r="G98" s="63"/>
      <c r="H98" s="63"/>
      <c r="I98" s="47"/>
      <c r="J98" s="63"/>
      <c r="K98" s="63"/>
      <c r="L98" s="47"/>
      <c r="M98" s="63"/>
      <c r="N98" s="63"/>
      <c r="O98" s="47"/>
    </row>
    <row r="99">
      <c r="A99" s="38"/>
      <c r="B99" s="25"/>
      <c r="C99" s="154"/>
      <c r="D99" s="8"/>
      <c r="E99" s="8"/>
      <c r="F99" s="18"/>
      <c r="G99" s="63"/>
      <c r="H99" s="63"/>
      <c r="I99" s="63"/>
      <c r="J99" s="63"/>
      <c r="K99" s="63"/>
      <c r="L99" s="63"/>
      <c r="M99" s="63"/>
      <c r="N99" s="63"/>
      <c r="O99" s="63"/>
    </row>
    <row r="100">
      <c r="A100" s="56" t="s">
        <v>313</v>
      </c>
      <c r="B100" s="25"/>
      <c r="C100" s="73"/>
      <c r="D100" s="8"/>
      <c r="E100" s="8"/>
      <c r="F100" s="18"/>
      <c r="G100" s="63"/>
      <c r="H100" s="63"/>
      <c r="I100" s="63"/>
      <c r="J100" s="63"/>
      <c r="K100" s="63"/>
      <c r="L100" s="63"/>
      <c r="M100" s="63"/>
      <c r="N100" s="63"/>
      <c r="O100" s="63"/>
    </row>
    <row r="101">
      <c r="A101" s="30"/>
      <c r="B101" s="25"/>
      <c r="C101" s="73"/>
      <c r="D101" s="8"/>
      <c r="E101" s="8"/>
      <c r="F101" s="18"/>
      <c r="G101" s="63"/>
      <c r="H101" s="63"/>
      <c r="I101" s="63"/>
      <c r="J101" s="63"/>
      <c r="K101" s="63"/>
      <c r="L101" s="63"/>
      <c r="M101" s="63"/>
      <c r="N101" s="63"/>
      <c r="O101" s="63"/>
    </row>
    <row r="102">
      <c r="A102" s="38"/>
      <c r="B102" s="25"/>
      <c r="C102" s="73"/>
      <c r="D102" s="8"/>
      <c r="E102" s="8"/>
      <c r="F102" s="18"/>
      <c r="G102" s="63"/>
      <c r="H102" s="63"/>
      <c r="I102" s="63"/>
      <c r="J102" s="63"/>
      <c r="K102" s="63"/>
      <c r="L102" s="63"/>
      <c r="M102" s="63"/>
      <c r="N102" s="63"/>
      <c r="O102" s="63"/>
    </row>
    <row r="103">
      <c r="A103" s="56" t="s">
        <v>316</v>
      </c>
      <c r="B103" s="51" t="s">
        <v>317</v>
      </c>
      <c r="C103" s="205" t="s">
        <v>318</v>
      </c>
      <c r="D103" s="8"/>
      <c r="E103" s="8"/>
      <c r="F103" s="59" t="s">
        <v>319</v>
      </c>
      <c r="G103" s="63"/>
      <c r="H103" s="63"/>
      <c r="I103" s="63"/>
      <c r="J103" s="63"/>
      <c r="K103" s="63"/>
      <c r="L103" s="63"/>
      <c r="M103" s="63"/>
      <c r="N103" s="63"/>
      <c r="O103" s="63"/>
    </row>
    <row r="104">
      <c r="A104" s="30"/>
      <c r="B104" s="30"/>
      <c r="C104" s="203" t="s">
        <v>320</v>
      </c>
      <c r="D104" s="8"/>
      <c r="E104" s="8"/>
      <c r="F104" s="18"/>
      <c r="G104" s="63"/>
      <c r="H104" s="63"/>
      <c r="I104" s="63"/>
      <c r="J104" s="63"/>
      <c r="K104" s="63"/>
      <c r="L104" s="63"/>
      <c r="M104" s="63"/>
      <c r="N104" s="63"/>
      <c r="O104" s="63"/>
    </row>
    <row r="105">
      <c r="A105" s="30"/>
      <c r="B105" s="30"/>
      <c r="C105" s="203" t="s">
        <v>321</v>
      </c>
      <c r="D105" s="8"/>
      <c r="E105" s="8"/>
      <c r="F105" s="18"/>
      <c r="G105" s="63"/>
      <c r="H105" s="63"/>
      <c r="I105" s="63"/>
      <c r="J105" s="63"/>
      <c r="K105" s="63"/>
      <c r="L105" s="63"/>
      <c r="M105" s="63"/>
      <c r="N105" s="63"/>
      <c r="O105" s="63"/>
    </row>
    <row r="106">
      <c r="A106" s="30"/>
      <c r="B106" s="30"/>
      <c r="C106" s="205" t="s">
        <v>322</v>
      </c>
      <c r="D106" s="8"/>
      <c r="E106" s="8"/>
      <c r="F106" s="18"/>
      <c r="G106" s="63"/>
      <c r="H106" s="63"/>
      <c r="I106" s="63"/>
      <c r="J106" s="63"/>
      <c r="K106" s="63"/>
      <c r="L106" s="63"/>
      <c r="M106" s="63"/>
      <c r="N106" s="63"/>
      <c r="O106" s="63"/>
    </row>
    <row r="107">
      <c r="A107" s="30"/>
      <c r="B107" s="30"/>
      <c r="C107" s="203" t="s">
        <v>323</v>
      </c>
      <c r="D107" s="8"/>
      <c r="E107" s="8"/>
      <c r="F107" s="18"/>
      <c r="G107" s="63"/>
      <c r="H107" s="63"/>
      <c r="I107" s="63"/>
      <c r="J107" s="63"/>
      <c r="K107" s="63"/>
      <c r="L107" s="63"/>
      <c r="M107" s="63"/>
      <c r="N107" s="63"/>
      <c r="O107" s="63"/>
    </row>
    <row r="108">
      <c r="A108" s="30"/>
      <c r="B108" s="30"/>
      <c r="C108" s="205" t="s">
        <v>324</v>
      </c>
      <c r="D108" s="8"/>
      <c r="E108" s="8"/>
      <c r="F108" s="18"/>
      <c r="G108" s="63"/>
      <c r="H108" s="63"/>
      <c r="I108" s="63"/>
      <c r="J108" s="63"/>
      <c r="K108" s="63"/>
      <c r="L108" s="63"/>
      <c r="M108" s="63"/>
      <c r="N108" s="63"/>
      <c r="O108" s="63"/>
    </row>
    <row r="109">
      <c r="A109" s="30"/>
      <c r="B109" s="30"/>
      <c r="C109" s="205" t="s">
        <v>325</v>
      </c>
      <c r="D109" s="8"/>
      <c r="E109" s="8"/>
      <c r="F109" s="18"/>
      <c r="G109" s="63"/>
      <c r="H109" s="63"/>
      <c r="I109" s="63"/>
      <c r="J109" s="63"/>
      <c r="K109" s="63"/>
      <c r="L109" s="63"/>
      <c r="M109" s="63"/>
      <c r="N109" s="63"/>
      <c r="O109" s="63"/>
    </row>
    <row r="110">
      <c r="A110" s="30"/>
      <c r="B110" s="38"/>
      <c r="C110" s="205" t="s">
        <v>326</v>
      </c>
      <c r="D110" s="8"/>
      <c r="E110" s="8"/>
      <c r="F110" s="18"/>
      <c r="G110" s="63"/>
      <c r="H110" s="63"/>
      <c r="I110" s="63"/>
      <c r="J110" s="63"/>
      <c r="K110" s="63"/>
      <c r="L110" s="63"/>
      <c r="M110" s="63"/>
      <c r="N110" s="63"/>
      <c r="O110" s="63"/>
    </row>
    <row r="111">
      <c r="A111" s="30"/>
      <c r="B111" s="51" t="s">
        <v>327</v>
      </c>
      <c r="C111" s="206" t="s">
        <v>328</v>
      </c>
      <c r="D111" s="8"/>
      <c r="E111" s="8"/>
      <c r="F111" s="18"/>
      <c r="G111" s="63"/>
      <c r="H111" s="63"/>
      <c r="I111" s="63"/>
      <c r="J111" s="63"/>
      <c r="K111" s="63"/>
      <c r="L111" s="63"/>
      <c r="M111" s="63"/>
      <c r="N111" s="63"/>
      <c r="O111" s="63"/>
    </row>
    <row r="112">
      <c r="A112" s="30"/>
      <c r="B112" s="30"/>
      <c r="C112" s="206" t="s">
        <v>322</v>
      </c>
      <c r="D112" s="8"/>
      <c r="E112" s="8"/>
      <c r="F112" s="18"/>
      <c r="G112" s="63"/>
      <c r="H112" s="63"/>
      <c r="I112" s="63"/>
      <c r="J112" s="63"/>
      <c r="K112" s="63"/>
      <c r="L112" s="63"/>
      <c r="M112" s="63"/>
      <c r="N112" s="63"/>
      <c r="O112" s="63"/>
    </row>
    <row r="113">
      <c r="A113" s="30"/>
      <c r="B113" s="30"/>
      <c r="C113" s="206" t="s">
        <v>323</v>
      </c>
      <c r="D113" s="8"/>
      <c r="E113" s="8"/>
      <c r="F113" s="18"/>
      <c r="G113" s="63"/>
      <c r="H113" s="63"/>
      <c r="I113" s="63"/>
      <c r="J113" s="63"/>
      <c r="K113" s="63"/>
      <c r="L113" s="63"/>
      <c r="M113" s="63"/>
      <c r="N113" s="63"/>
      <c r="O113" s="63"/>
    </row>
    <row r="114">
      <c r="A114" s="30"/>
      <c r="B114" s="38"/>
      <c r="C114" s="206" t="s">
        <v>324</v>
      </c>
      <c r="D114" s="8"/>
      <c r="E114" s="8"/>
      <c r="F114" s="18"/>
      <c r="G114" s="63"/>
      <c r="H114" s="63"/>
      <c r="I114" s="63"/>
      <c r="J114" s="63"/>
      <c r="K114" s="63"/>
      <c r="L114" s="63"/>
      <c r="M114" s="63"/>
      <c r="N114" s="63"/>
      <c r="O114" s="63"/>
    </row>
    <row r="115">
      <c r="A115" s="30"/>
      <c r="B115" s="51" t="s">
        <v>329</v>
      </c>
      <c r="C115" s="191" t="s">
        <v>330</v>
      </c>
      <c r="D115" s="8"/>
      <c r="E115" s="8"/>
      <c r="F115" s="18"/>
      <c r="G115" s="63"/>
      <c r="H115" s="63"/>
      <c r="I115" s="63"/>
      <c r="J115" s="63"/>
      <c r="K115" s="63"/>
      <c r="L115" s="63"/>
      <c r="M115" s="63"/>
      <c r="N115" s="63"/>
      <c r="O115" s="63"/>
    </row>
    <row r="116">
      <c r="A116" s="30"/>
      <c r="B116" s="30"/>
      <c r="C116" s="206" t="s">
        <v>331</v>
      </c>
      <c r="D116" s="8"/>
      <c r="E116" s="8"/>
      <c r="F116" s="18"/>
      <c r="G116" s="63"/>
      <c r="H116" s="63"/>
      <c r="I116" s="63"/>
      <c r="J116" s="63"/>
      <c r="K116" s="63"/>
      <c r="L116" s="63"/>
      <c r="M116" s="63"/>
      <c r="N116" s="63"/>
      <c r="O116" s="63"/>
    </row>
    <row r="117">
      <c r="A117" s="30"/>
      <c r="B117" s="30"/>
      <c r="C117" s="206" t="s">
        <v>332</v>
      </c>
      <c r="D117" s="8"/>
      <c r="E117" s="8"/>
      <c r="F117" s="18"/>
      <c r="G117" s="63"/>
      <c r="H117" s="63"/>
      <c r="I117" s="63"/>
      <c r="J117" s="63"/>
      <c r="K117" s="63"/>
      <c r="L117" s="63"/>
      <c r="M117" s="63"/>
      <c r="N117" s="63"/>
      <c r="O117" s="63"/>
    </row>
    <row r="118">
      <c r="A118" s="30"/>
      <c r="B118" s="30"/>
      <c r="C118" s="207" t="s">
        <v>333</v>
      </c>
      <c r="D118" s="8"/>
      <c r="E118" s="8"/>
      <c r="F118" s="18"/>
      <c r="G118" s="63"/>
      <c r="H118" s="63"/>
      <c r="I118" s="63"/>
      <c r="J118" s="63"/>
      <c r="K118" s="63"/>
      <c r="L118" s="63"/>
      <c r="M118" s="63"/>
      <c r="N118" s="63"/>
      <c r="O118" s="63"/>
    </row>
    <row r="119">
      <c r="A119" s="38"/>
      <c r="B119" s="38"/>
      <c r="C119" s="206" t="s">
        <v>334</v>
      </c>
      <c r="D119" s="8"/>
      <c r="E119" s="8"/>
      <c r="F119" s="18"/>
      <c r="G119" s="63"/>
      <c r="H119" s="63"/>
      <c r="I119" s="63"/>
      <c r="J119" s="63"/>
      <c r="K119" s="63"/>
      <c r="L119" s="63"/>
      <c r="M119" s="63"/>
      <c r="N119" s="63"/>
      <c r="O119" s="63"/>
    </row>
    <row r="120">
      <c r="A120" s="56" t="s">
        <v>395</v>
      </c>
      <c r="B120" s="179"/>
      <c r="C120" s="208" t="s">
        <v>396</v>
      </c>
      <c r="D120" s="8"/>
      <c r="E120" s="8"/>
      <c r="F120" s="158" t="s">
        <v>397</v>
      </c>
      <c r="G120" s="28" t="s">
        <v>24</v>
      </c>
      <c r="H120" s="112"/>
      <c r="I120" s="101"/>
      <c r="J120" s="63"/>
      <c r="K120" s="112" t="s">
        <v>398</v>
      </c>
      <c r="L120" s="101"/>
      <c r="M120" s="63"/>
      <c r="N120" s="63"/>
      <c r="O120" s="101"/>
    </row>
    <row r="121">
      <c r="A121" s="30"/>
      <c r="B121" s="179"/>
      <c r="C121" s="209" t="s">
        <v>399</v>
      </c>
      <c r="D121" s="8"/>
      <c r="E121" s="8"/>
      <c r="F121" s="173"/>
      <c r="G121" s="28" t="s">
        <v>24</v>
      </c>
      <c r="H121" s="159"/>
      <c r="I121" s="101"/>
      <c r="J121" s="63"/>
      <c r="K121" s="159" t="s">
        <v>24</v>
      </c>
      <c r="L121" s="101"/>
      <c r="M121" s="63"/>
      <c r="N121" s="63"/>
      <c r="O121" s="101"/>
    </row>
    <row r="122">
      <c r="A122" s="30"/>
      <c r="B122" s="179"/>
      <c r="C122" s="210" t="s">
        <v>400</v>
      </c>
      <c r="D122" s="8"/>
      <c r="E122" s="8"/>
      <c r="F122" s="173"/>
      <c r="G122" s="28" t="s">
        <v>24</v>
      </c>
      <c r="H122" s="28"/>
      <c r="I122" s="101"/>
      <c r="J122" s="63"/>
      <c r="K122" s="28" t="s">
        <v>24</v>
      </c>
      <c r="L122" s="101"/>
      <c r="M122" s="63"/>
      <c r="N122" s="63"/>
      <c r="O122" s="101"/>
    </row>
    <row r="123">
      <c r="A123" s="30"/>
      <c r="B123" s="179"/>
      <c r="C123" s="210" t="s">
        <v>401</v>
      </c>
      <c r="D123" s="8"/>
      <c r="E123" s="8"/>
      <c r="F123" s="173"/>
      <c r="G123" s="28" t="s">
        <v>24</v>
      </c>
      <c r="H123" s="28"/>
      <c r="I123" s="101"/>
      <c r="J123" s="63"/>
      <c r="K123" s="28" t="s">
        <v>24</v>
      </c>
      <c r="L123" s="101"/>
      <c r="M123" s="63"/>
      <c r="N123" s="63"/>
      <c r="O123" s="101"/>
    </row>
    <row r="124">
      <c r="A124" s="30"/>
      <c r="B124" s="179"/>
      <c r="C124" s="210" t="s">
        <v>402</v>
      </c>
      <c r="D124" s="8"/>
      <c r="E124" s="8"/>
      <c r="F124" s="173"/>
      <c r="G124" s="28" t="s">
        <v>24</v>
      </c>
      <c r="H124" s="28"/>
      <c r="I124" s="63"/>
      <c r="J124" s="63"/>
      <c r="K124" s="28" t="s">
        <v>24</v>
      </c>
      <c r="L124" s="63"/>
      <c r="M124" s="63"/>
      <c r="N124" s="63"/>
      <c r="O124" s="63"/>
    </row>
    <row r="125">
      <c r="A125" s="30"/>
      <c r="B125" s="25"/>
      <c r="C125" s="211"/>
      <c r="D125" s="8"/>
      <c r="E125" s="8"/>
      <c r="F125" s="173"/>
      <c r="G125" s="63"/>
      <c r="H125" s="63"/>
      <c r="I125" s="63"/>
      <c r="J125" s="63"/>
      <c r="K125" s="63"/>
      <c r="L125" s="63"/>
      <c r="M125" s="63"/>
      <c r="N125" s="63"/>
      <c r="O125" s="63"/>
    </row>
    <row r="126">
      <c r="A126" s="30"/>
      <c r="B126" s="25"/>
      <c r="C126" s="211"/>
      <c r="D126" s="8"/>
      <c r="E126" s="8"/>
      <c r="F126" s="173"/>
      <c r="G126" s="63"/>
      <c r="H126" s="63"/>
      <c r="I126" s="63"/>
      <c r="J126" s="63"/>
      <c r="K126" s="63"/>
      <c r="L126" s="63"/>
      <c r="M126" s="63"/>
      <c r="N126" s="63"/>
      <c r="O126" s="63"/>
    </row>
    <row r="127">
      <c r="A127" s="38"/>
      <c r="B127" s="25"/>
      <c r="C127" s="211"/>
      <c r="D127" s="8"/>
      <c r="E127" s="8"/>
      <c r="F127" s="173"/>
      <c r="G127" s="63"/>
      <c r="H127" s="63"/>
      <c r="I127" s="63"/>
      <c r="J127" s="63"/>
      <c r="K127" s="63"/>
      <c r="L127" s="63"/>
      <c r="M127" s="63"/>
      <c r="N127" s="63"/>
      <c r="O127" s="63"/>
    </row>
    <row r="128">
      <c r="A128" s="56" t="s">
        <v>362</v>
      </c>
      <c r="B128" s="179"/>
      <c r="C128" s="210" t="s">
        <v>403</v>
      </c>
      <c r="D128" s="8"/>
      <c r="E128" s="8"/>
      <c r="F128" s="18"/>
      <c r="G128" s="101" t="s">
        <v>404</v>
      </c>
      <c r="H128" s="63"/>
      <c r="I128" s="63"/>
      <c r="J128" s="63"/>
      <c r="K128" s="63"/>
      <c r="L128" s="63"/>
      <c r="M128" s="63"/>
      <c r="N128" s="63"/>
      <c r="O128" s="63"/>
    </row>
    <row r="129">
      <c r="A129" s="30"/>
      <c r="B129" s="179"/>
      <c r="C129" s="210" t="s">
        <v>365</v>
      </c>
      <c r="D129" s="8"/>
      <c r="E129" s="8"/>
      <c r="F129" s="18"/>
      <c r="G129" s="101" t="s">
        <v>404</v>
      </c>
      <c r="H129" s="63"/>
      <c r="I129" s="63"/>
      <c r="J129" s="63"/>
      <c r="K129" s="63"/>
      <c r="L129" s="63"/>
      <c r="M129" s="63"/>
      <c r="N129" s="63"/>
      <c r="O129" s="63"/>
    </row>
    <row r="130">
      <c r="A130" s="30"/>
      <c r="B130" s="179"/>
      <c r="C130" s="212" t="s">
        <v>366</v>
      </c>
      <c r="D130" s="8"/>
      <c r="E130" s="8"/>
      <c r="F130" s="18"/>
      <c r="G130" s="63"/>
      <c r="H130" s="63"/>
      <c r="I130" s="63"/>
      <c r="J130" s="63"/>
      <c r="K130" s="63"/>
      <c r="L130" s="63"/>
      <c r="M130" s="63"/>
      <c r="N130" s="63"/>
      <c r="O130" s="63"/>
    </row>
    <row r="131">
      <c r="A131" s="30"/>
      <c r="B131" s="179"/>
      <c r="C131" s="213" t="s">
        <v>367</v>
      </c>
      <c r="D131" s="8"/>
      <c r="E131" s="8"/>
      <c r="F131" s="59" t="s">
        <v>368</v>
      </c>
      <c r="G131" s="63"/>
      <c r="H131" s="63"/>
      <c r="I131" s="63"/>
      <c r="J131" s="63"/>
      <c r="K131" s="63"/>
      <c r="L131" s="63"/>
      <c r="M131" s="63"/>
      <c r="N131" s="63"/>
      <c r="O131" s="63"/>
    </row>
    <row r="132">
      <c r="A132" s="30"/>
      <c r="B132" s="179"/>
      <c r="C132" s="212" t="s">
        <v>369</v>
      </c>
      <c r="D132" s="8"/>
      <c r="E132" s="8"/>
      <c r="F132" s="59" t="s">
        <v>370</v>
      </c>
      <c r="G132" s="63"/>
      <c r="H132" s="63"/>
      <c r="I132" s="63"/>
      <c r="J132" s="63"/>
      <c r="K132" s="63"/>
      <c r="L132" s="63"/>
      <c r="M132" s="63"/>
      <c r="N132" s="63"/>
      <c r="O132" s="63"/>
    </row>
    <row r="133">
      <c r="A133" s="30"/>
      <c r="B133" s="179"/>
      <c r="C133" s="212"/>
      <c r="D133" s="8"/>
      <c r="E133" s="8"/>
      <c r="F133" s="18"/>
      <c r="G133" s="63"/>
      <c r="H133" s="63"/>
      <c r="I133" s="63"/>
      <c r="J133" s="63"/>
      <c r="K133" s="63"/>
      <c r="L133" s="63"/>
      <c r="M133" s="63"/>
      <c r="N133" s="63"/>
      <c r="O133" s="63"/>
    </row>
    <row r="134">
      <c r="A134" s="38"/>
      <c r="B134" s="179"/>
      <c r="C134" s="212"/>
      <c r="D134" s="8"/>
      <c r="E134" s="8"/>
      <c r="F134" s="18"/>
      <c r="G134" s="63"/>
      <c r="H134" s="63"/>
      <c r="I134" s="63"/>
      <c r="J134" s="63"/>
      <c r="K134" s="63"/>
      <c r="L134" s="63"/>
      <c r="M134" s="63"/>
      <c r="N134" s="63"/>
      <c r="O134" s="63"/>
    </row>
    <row r="135">
      <c r="A135" s="56" t="s">
        <v>405</v>
      </c>
      <c r="B135" s="25"/>
      <c r="C135" s="202" t="s">
        <v>406</v>
      </c>
      <c r="D135" s="8"/>
      <c r="E135" s="8"/>
      <c r="F135" s="18"/>
      <c r="G135" s="63"/>
      <c r="H135" s="63"/>
      <c r="I135" s="63"/>
      <c r="J135" s="63"/>
      <c r="K135" s="63"/>
      <c r="L135" s="63"/>
      <c r="M135" s="63"/>
      <c r="N135" s="63"/>
      <c r="O135" s="63"/>
    </row>
    <row r="136">
      <c r="A136" s="30"/>
      <c r="B136" s="25"/>
      <c r="C136" s="200" t="s">
        <v>407</v>
      </c>
      <c r="D136" s="8"/>
      <c r="E136" s="8"/>
      <c r="F136" s="18"/>
      <c r="G136" s="63"/>
      <c r="H136" s="214"/>
      <c r="I136" s="63"/>
      <c r="J136" s="63"/>
      <c r="L136" s="63"/>
      <c r="M136" s="63"/>
      <c r="N136" s="63"/>
      <c r="O136" s="63"/>
    </row>
    <row r="137">
      <c r="A137" s="30"/>
      <c r="B137" s="25"/>
      <c r="C137" s="202" t="s">
        <v>408</v>
      </c>
      <c r="D137" s="8"/>
      <c r="E137" s="8"/>
      <c r="F137" s="18"/>
      <c r="G137" s="63"/>
      <c r="H137" s="63"/>
      <c r="I137" s="63"/>
      <c r="J137" s="63"/>
      <c r="K137" s="63"/>
      <c r="L137" s="63"/>
      <c r="M137" s="63"/>
      <c r="N137" s="63"/>
      <c r="O137" s="63"/>
    </row>
    <row r="138">
      <c r="A138" s="30"/>
      <c r="B138" s="25"/>
      <c r="C138" s="202" t="s">
        <v>256</v>
      </c>
      <c r="D138" s="8"/>
      <c r="E138" s="8"/>
      <c r="F138" s="18"/>
      <c r="G138" s="63"/>
      <c r="H138" s="101"/>
      <c r="I138" s="63"/>
      <c r="J138" s="63"/>
      <c r="K138" s="101" t="s">
        <v>409</v>
      </c>
      <c r="L138" s="63"/>
      <c r="M138" s="63"/>
      <c r="N138" s="63"/>
      <c r="O138" s="63"/>
    </row>
    <row r="139">
      <c r="A139" s="30"/>
      <c r="B139" s="25"/>
      <c r="C139" s="202" t="s">
        <v>410</v>
      </c>
      <c r="D139" s="8"/>
      <c r="E139" s="8"/>
      <c r="F139" s="18"/>
      <c r="G139" s="63"/>
      <c r="H139" s="63"/>
      <c r="I139" s="63"/>
      <c r="J139" s="63"/>
      <c r="K139" s="63"/>
      <c r="L139" s="63"/>
      <c r="M139" s="63"/>
      <c r="N139" s="63"/>
      <c r="O139" s="63"/>
    </row>
    <row r="140">
      <c r="A140" s="30"/>
      <c r="B140" s="25"/>
      <c r="C140" s="202" t="s">
        <v>411</v>
      </c>
      <c r="D140" s="8"/>
      <c r="E140" s="8"/>
      <c r="F140" s="18"/>
      <c r="G140" s="63"/>
      <c r="H140" s="63"/>
      <c r="I140" s="63"/>
      <c r="J140" s="63"/>
      <c r="K140" s="63"/>
      <c r="L140" s="63"/>
      <c r="M140" s="63"/>
      <c r="N140" s="63"/>
      <c r="O140" s="63"/>
    </row>
    <row r="141">
      <c r="A141" s="30"/>
      <c r="B141" s="25"/>
      <c r="C141" s="202" t="s">
        <v>261</v>
      </c>
      <c r="D141" s="8"/>
      <c r="E141" s="8"/>
      <c r="F141" s="18"/>
      <c r="G141" s="101" t="s">
        <v>412</v>
      </c>
      <c r="H141" s="63"/>
      <c r="I141" s="63"/>
      <c r="J141" s="63"/>
      <c r="K141" s="63"/>
      <c r="L141" s="63"/>
      <c r="M141" s="63"/>
      <c r="N141" s="63"/>
      <c r="O141" s="63"/>
    </row>
    <row r="142">
      <c r="A142" s="30"/>
      <c r="B142" s="25"/>
      <c r="C142" s="202"/>
      <c r="D142" s="8"/>
      <c r="E142" s="8"/>
      <c r="F142" s="18"/>
      <c r="G142" s="63"/>
      <c r="H142" s="63"/>
      <c r="I142" s="63"/>
      <c r="J142" s="63"/>
      <c r="K142" s="63"/>
      <c r="L142" s="63"/>
      <c r="M142" s="63"/>
      <c r="N142" s="63"/>
      <c r="O142" s="63"/>
    </row>
    <row r="143">
      <c r="A143" s="38"/>
      <c r="B143" s="25"/>
      <c r="C143" s="202"/>
      <c r="D143" s="8"/>
      <c r="E143" s="8"/>
      <c r="F143" s="18"/>
      <c r="G143" s="63"/>
      <c r="H143" s="63"/>
      <c r="I143" s="63"/>
      <c r="J143" s="63"/>
      <c r="K143" s="63"/>
      <c r="L143" s="63"/>
      <c r="M143" s="63"/>
      <c r="N143" s="63"/>
      <c r="O143" s="63"/>
    </row>
    <row r="144">
      <c r="A144" s="56" t="s">
        <v>371</v>
      </c>
      <c r="B144" s="25"/>
      <c r="C144" s="202" t="s">
        <v>372</v>
      </c>
      <c r="D144" s="8"/>
      <c r="E144" s="8"/>
      <c r="F144" s="18"/>
      <c r="G144" s="63"/>
      <c r="H144" s="63"/>
      <c r="I144" s="63"/>
      <c r="J144" s="63"/>
      <c r="K144" s="63"/>
      <c r="L144" s="63"/>
      <c r="M144" s="63"/>
      <c r="N144" s="63"/>
      <c r="O144" s="63"/>
    </row>
    <row r="145">
      <c r="A145" s="30"/>
      <c r="B145" s="25"/>
      <c r="C145" s="209" t="s">
        <v>373</v>
      </c>
      <c r="D145" s="8"/>
      <c r="E145" s="8"/>
      <c r="F145" s="18"/>
      <c r="G145" s="63"/>
      <c r="H145" s="63"/>
      <c r="I145" s="63"/>
      <c r="J145" s="63"/>
      <c r="K145" s="63"/>
      <c r="L145" s="63"/>
      <c r="M145" s="63"/>
      <c r="N145" s="63"/>
      <c r="O145" s="63"/>
    </row>
    <row r="146">
      <c r="A146" s="30"/>
      <c r="B146" s="25"/>
      <c r="C146" s="204" t="s">
        <v>374</v>
      </c>
      <c r="D146" s="8"/>
      <c r="E146" s="8"/>
      <c r="F146" s="18"/>
      <c r="G146" s="63"/>
      <c r="H146" s="63"/>
      <c r="I146" s="63"/>
      <c r="J146" s="63"/>
      <c r="K146" s="63"/>
      <c r="L146" s="63"/>
      <c r="M146" s="63"/>
      <c r="N146" s="63"/>
      <c r="O146" s="63"/>
    </row>
    <row r="147">
      <c r="A147" s="38"/>
      <c r="B147" s="25"/>
      <c r="C147" s="204" t="s">
        <v>375</v>
      </c>
      <c r="D147" s="8"/>
      <c r="E147" s="8"/>
      <c r="F147" s="126" t="s">
        <v>376</v>
      </c>
      <c r="G147" s="185" t="s">
        <v>376</v>
      </c>
      <c r="H147" s="105"/>
      <c r="I147" s="105"/>
      <c r="J147" s="105"/>
      <c r="K147" s="105"/>
      <c r="L147" s="105"/>
      <c r="M147" s="105"/>
      <c r="N147" s="105"/>
      <c r="O147" s="105"/>
    </row>
    <row r="148">
      <c r="A148" s="62"/>
      <c r="B148" s="25">
        <v>148.0</v>
      </c>
      <c r="C148" s="73" t="s">
        <v>413</v>
      </c>
      <c r="D148" s="25"/>
      <c r="E148" s="25"/>
      <c r="F148" s="54" t="s">
        <v>80</v>
      </c>
      <c r="G148" s="215">
        <v>6.0</v>
      </c>
      <c r="H148" s="215">
        <v>0.0</v>
      </c>
      <c r="I148" s="215">
        <v>0.0</v>
      </c>
      <c r="J148" s="215">
        <v>0.0</v>
      </c>
      <c r="K148" s="215">
        <v>18.0</v>
      </c>
      <c r="L148" s="215">
        <v>0.0</v>
      </c>
      <c r="M148" s="215">
        <v>0.0</v>
      </c>
      <c r="N148" s="215">
        <v>0.0</v>
      </c>
      <c r="O148" s="215">
        <v>1.0</v>
      </c>
    </row>
    <row r="149">
      <c r="A149" s="66"/>
      <c r="B149" s="8"/>
      <c r="C149" s="17"/>
      <c r="D149" s="8"/>
      <c r="E149" s="8"/>
      <c r="F149" s="8"/>
      <c r="G149" s="8"/>
      <c r="H149" s="8"/>
      <c r="I149" s="8"/>
      <c r="J149" s="8"/>
      <c r="K149" s="8"/>
      <c r="L149" s="8"/>
      <c r="M149" s="8"/>
      <c r="N149" s="8"/>
      <c r="O149" s="8"/>
    </row>
    <row r="150">
      <c r="A150" s="66"/>
      <c r="B150" s="8"/>
      <c r="C150" s="17"/>
      <c r="D150" s="8"/>
      <c r="E150" s="8"/>
      <c r="F150" s="8"/>
      <c r="G150" s="8"/>
      <c r="H150" s="8"/>
      <c r="I150" s="8"/>
      <c r="J150" s="8"/>
      <c r="K150" s="8"/>
      <c r="L150" s="8"/>
      <c r="M150" s="8"/>
      <c r="N150" s="8"/>
      <c r="O150" s="8"/>
    </row>
    <row r="151">
      <c r="A151" s="66"/>
      <c r="B151" s="8"/>
      <c r="C151" s="17"/>
      <c r="D151" s="8"/>
      <c r="E151" s="8"/>
      <c r="F151" s="8"/>
      <c r="G151" s="8"/>
      <c r="H151" s="8"/>
      <c r="I151" s="8"/>
      <c r="J151" s="8"/>
      <c r="K151" s="8"/>
      <c r="L151" s="8"/>
      <c r="M151" s="8"/>
      <c r="N151" s="8"/>
      <c r="O151" s="8"/>
    </row>
    <row r="152">
      <c r="A152" s="66"/>
      <c r="B152" s="8"/>
      <c r="C152" s="17"/>
      <c r="D152" s="8"/>
      <c r="E152" s="8"/>
      <c r="F152" s="8"/>
      <c r="G152" s="8"/>
      <c r="H152" s="8"/>
      <c r="I152" s="8"/>
      <c r="J152" s="8"/>
      <c r="K152" s="8"/>
      <c r="L152" s="8"/>
      <c r="M152" s="8"/>
      <c r="N152" s="8"/>
      <c r="O152" s="8"/>
    </row>
    <row r="153">
      <c r="A153" s="67" t="s">
        <v>414</v>
      </c>
      <c r="B153" s="68"/>
      <c r="C153" s="68"/>
      <c r="D153" s="69"/>
      <c r="E153" s="8"/>
      <c r="F153" s="8"/>
      <c r="G153" s="8"/>
      <c r="H153" s="8"/>
      <c r="I153" s="8"/>
      <c r="J153" s="8"/>
      <c r="K153" s="8"/>
      <c r="L153" s="8"/>
      <c r="M153" s="8"/>
      <c r="N153" s="8"/>
      <c r="O153" s="8"/>
    </row>
    <row r="154">
      <c r="A154" s="62"/>
      <c r="B154" s="70" t="s">
        <v>5</v>
      </c>
      <c r="C154" s="216" t="s">
        <v>81</v>
      </c>
      <c r="D154" s="70" t="s">
        <v>7</v>
      </c>
      <c r="E154" s="8"/>
      <c r="F154" s="8"/>
      <c r="G154" s="8"/>
      <c r="H154" s="8"/>
      <c r="I154" s="8"/>
      <c r="J154" s="8"/>
      <c r="K154" s="8"/>
      <c r="L154" s="8"/>
      <c r="M154" s="8"/>
      <c r="N154" s="8"/>
      <c r="O154" s="8"/>
    </row>
    <row r="155">
      <c r="A155" s="71" t="s">
        <v>82</v>
      </c>
      <c r="B155" s="25">
        <v>11.0</v>
      </c>
      <c r="C155" s="73">
        <v>0.0</v>
      </c>
      <c r="D155" s="25">
        <v>0.0</v>
      </c>
      <c r="E155" s="8"/>
      <c r="F155" s="8"/>
      <c r="G155" s="8"/>
      <c r="H155" s="8"/>
      <c r="I155" s="8"/>
      <c r="J155" s="8"/>
      <c r="K155" s="8"/>
      <c r="L155" s="8"/>
      <c r="M155" s="8"/>
      <c r="N155" s="8"/>
      <c r="O155" s="8"/>
    </row>
    <row r="156">
      <c r="A156" s="71" t="s">
        <v>83</v>
      </c>
      <c r="B156" s="25">
        <v>4.0</v>
      </c>
      <c r="C156" s="73">
        <v>0.0</v>
      </c>
      <c r="D156" s="25">
        <v>0.0</v>
      </c>
      <c r="E156" s="8"/>
      <c r="F156" s="8"/>
      <c r="G156" s="8"/>
      <c r="H156" s="8"/>
      <c r="I156" s="8"/>
      <c r="J156" s="8"/>
      <c r="K156" s="8"/>
      <c r="L156" s="8"/>
      <c r="M156" s="8"/>
      <c r="N156" s="8"/>
      <c r="O156" s="8"/>
    </row>
    <row r="157">
      <c r="A157" s="71" t="s">
        <v>84</v>
      </c>
      <c r="B157" s="25">
        <v>0.0</v>
      </c>
      <c r="C157" s="73">
        <v>0.0</v>
      </c>
      <c r="D157" s="25">
        <v>0.0</v>
      </c>
      <c r="E157" s="8"/>
      <c r="F157" s="8"/>
      <c r="G157" s="8"/>
      <c r="H157" s="8"/>
      <c r="I157" s="8"/>
      <c r="J157" s="8"/>
      <c r="K157" s="8"/>
      <c r="L157" s="8"/>
      <c r="M157" s="8"/>
      <c r="N157" s="8"/>
      <c r="O157" s="8"/>
    </row>
    <row r="158">
      <c r="A158" s="71" t="s">
        <v>85</v>
      </c>
      <c r="B158" s="25">
        <v>119.0</v>
      </c>
      <c r="C158" s="73">
        <v>0.0</v>
      </c>
      <c r="D158" s="25">
        <v>134.0</v>
      </c>
      <c r="E158" s="8"/>
      <c r="F158" s="8"/>
      <c r="G158" s="8"/>
      <c r="H158" s="8"/>
      <c r="I158" s="8"/>
      <c r="J158" s="8"/>
      <c r="K158" s="8"/>
      <c r="L158" s="8"/>
      <c r="M158" s="8"/>
      <c r="N158" s="8"/>
      <c r="O158" s="8"/>
    </row>
    <row r="159">
      <c r="A159" s="66"/>
      <c r="B159" s="8"/>
      <c r="C159" s="17"/>
      <c r="D159" s="8"/>
      <c r="E159" s="8"/>
      <c r="F159" s="8"/>
      <c r="G159" s="8"/>
      <c r="H159" s="8"/>
      <c r="I159" s="8"/>
      <c r="J159" s="8"/>
      <c r="K159" s="8"/>
      <c r="L159" s="8"/>
      <c r="M159" s="8"/>
      <c r="N159" s="8"/>
      <c r="O159" s="8"/>
    </row>
    <row r="160">
      <c r="A160" s="66"/>
      <c r="B160" s="8"/>
      <c r="C160" s="17"/>
      <c r="D160" s="8"/>
      <c r="E160" s="8"/>
      <c r="F160" s="8"/>
      <c r="G160" s="8"/>
      <c r="H160" s="8"/>
      <c r="I160" s="8"/>
      <c r="J160" s="8"/>
      <c r="K160" s="8"/>
      <c r="L160" s="8"/>
      <c r="M160" s="8"/>
      <c r="N160" s="8"/>
      <c r="O160" s="8"/>
    </row>
    <row r="161">
      <c r="A161" s="72" t="s">
        <v>86</v>
      </c>
      <c r="B161" s="68"/>
      <c r="C161" s="68"/>
      <c r="D161" s="68"/>
      <c r="E161" s="69"/>
      <c r="F161" s="8"/>
      <c r="G161" s="8"/>
      <c r="H161" s="8"/>
      <c r="I161" s="8"/>
      <c r="J161" s="8"/>
      <c r="K161" s="8"/>
      <c r="L161" s="8"/>
      <c r="M161" s="8"/>
      <c r="N161" s="8"/>
      <c r="O161" s="8"/>
    </row>
    <row r="162">
      <c r="A162" s="71" t="s">
        <v>8</v>
      </c>
      <c r="B162" s="25"/>
      <c r="C162" s="73"/>
      <c r="D162" s="25"/>
      <c r="E162" s="70" t="s">
        <v>87</v>
      </c>
      <c r="F162" s="8"/>
      <c r="G162" s="8"/>
      <c r="H162" s="8"/>
      <c r="I162" s="8"/>
      <c r="J162" s="8"/>
      <c r="K162" s="8"/>
      <c r="L162" s="8"/>
      <c r="M162" s="8"/>
      <c r="N162" s="8"/>
      <c r="O162" s="8"/>
    </row>
    <row r="163">
      <c r="A163" s="74" t="s">
        <v>88</v>
      </c>
      <c r="B163" s="25"/>
      <c r="C163" s="73"/>
      <c r="D163" s="25"/>
      <c r="E163" s="75" t="s">
        <v>24</v>
      </c>
      <c r="F163" s="8"/>
      <c r="G163" s="8"/>
      <c r="H163" s="8"/>
      <c r="I163" s="8"/>
      <c r="J163" s="8"/>
      <c r="K163" s="8"/>
      <c r="L163" s="8"/>
      <c r="M163" s="8"/>
      <c r="N163" s="8"/>
      <c r="O163" s="8"/>
    </row>
    <row r="164">
      <c r="A164" s="76" t="s">
        <v>89</v>
      </c>
      <c r="B164" s="25"/>
      <c r="C164" s="73"/>
      <c r="D164" s="25"/>
      <c r="E164" s="77" t="s">
        <v>13</v>
      </c>
      <c r="F164" s="8"/>
      <c r="G164" s="8"/>
      <c r="H164" s="8"/>
      <c r="I164" s="8"/>
      <c r="J164" s="8"/>
      <c r="K164" s="8"/>
      <c r="L164" s="8"/>
      <c r="M164" s="8"/>
      <c r="N164" s="8"/>
      <c r="O164" s="8"/>
    </row>
    <row r="165">
      <c r="A165" s="78" t="s">
        <v>90</v>
      </c>
      <c r="B165" s="25"/>
      <c r="C165" s="73"/>
      <c r="D165" s="25"/>
      <c r="E165" s="79" t="s">
        <v>91</v>
      </c>
      <c r="F165" s="8"/>
      <c r="G165" s="8"/>
      <c r="H165" s="8"/>
      <c r="I165" s="8"/>
      <c r="J165" s="8"/>
      <c r="K165" s="8"/>
      <c r="L165" s="8"/>
      <c r="M165" s="8"/>
      <c r="N165" s="8"/>
      <c r="O165" s="8"/>
    </row>
    <row r="166">
      <c r="A166" s="80" t="s">
        <v>92</v>
      </c>
      <c r="B166" s="25"/>
      <c r="C166" s="73"/>
      <c r="D166" s="25"/>
      <c r="E166" s="81" t="s">
        <v>10</v>
      </c>
      <c r="F166" s="8"/>
      <c r="G166" s="8"/>
      <c r="H166" s="8"/>
      <c r="I166" s="8"/>
      <c r="J166" s="8"/>
      <c r="K166" s="8"/>
      <c r="L166" s="8"/>
      <c r="M166" s="8"/>
      <c r="N166" s="8"/>
      <c r="O166" s="8"/>
    </row>
    <row r="167">
      <c r="A167" s="82" t="s">
        <v>93</v>
      </c>
      <c r="B167" s="25"/>
      <c r="C167" s="73"/>
      <c r="D167" s="25"/>
      <c r="E167" s="83" t="s">
        <v>94</v>
      </c>
      <c r="F167" s="8"/>
      <c r="G167" s="8"/>
      <c r="H167" s="8"/>
      <c r="I167" s="8"/>
      <c r="J167" s="8"/>
      <c r="K167" s="8"/>
      <c r="L167" s="8"/>
      <c r="M167" s="8"/>
      <c r="N167" s="8"/>
      <c r="O167" s="8"/>
    </row>
    <row r="168">
      <c r="A168" s="84" t="s">
        <v>95</v>
      </c>
      <c r="B168" s="25"/>
      <c r="C168" s="73"/>
      <c r="D168" s="25"/>
      <c r="E168" s="85" t="s">
        <v>11</v>
      </c>
      <c r="F168" s="8"/>
      <c r="G168" s="8"/>
      <c r="H168" s="8"/>
      <c r="I168" s="8"/>
      <c r="J168" s="8"/>
      <c r="K168" s="8"/>
      <c r="L168" s="8"/>
      <c r="M168" s="8"/>
      <c r="N168" s="8"/>
      <c r="O168" s="8"/>
    </row>
    <row r="169">
      <c r="A169" s="86" t="s">
        <v>96</v>
      </c>
      <c r="B169" s="25"/>
      <c r="C169" s="73"/>
      <c r="D169" s="25"/>
      <c r="E169" s="87" t="s">
        <v>97</v>
      </c>
      <c r="F169" s="8"/>
      <c r="G169" s="8"/>
      <c r="H169" s="8"/>
      <c r="I169" s="8"/>
      <c r="J169" s="8"/>
      <c r="K169" s="8"/>
      <c r="L169" s="8"/>
      <c r="M169" s="8"/>
      <c r="N169" s="8"/>
      <c r="O169" s="8"/>
    </row>
    <row r="170">
      <c r="A170" s="88" t="s">
        <v>98</v>
      </c>
      <c r="B170" s="25"/>
      <c r="C170" s="73"/>
      <c r="D170" s="25"/>
      <c r="E170" s="89" t="s">
        <v>12</v>
      </c>
      <c r="F170" s="8"/>
      <c r="G170" s="8"/>
      <c r="H170" s="8"/>
      <c r="I170" s="8"/>
      <c r="J170" s="8"/>
      <c r="K170" s="8"/>
      <c r="L170" s="8"/>
      <c r="M170" s="8"/>
      <c r="N170" s="8"/>
      <c r="O170" s="8"/>
    </row>
    <row r="171">
      <c r="A171" s="90" t="s">
        <v>99</v>
      </c>
      <c r="B171" s="25"/>
      <c r="C171" s="73"/>
      <c r="D171" s="25"/>
      <c r="E171" s="91" t="s">
        <v>100</v>
      </c>
      <c r="F171" s="8"/>
      <c r="G171" s="8"/>
      <c r="H171" s="8"/>
      <c r="I171" s="8"/>
      <c r="J171" s="8"/>
      <c r="K171" s="8"/>
      <c r="L171" s="8"/>
      <c r="M171" s="8"/>
      <c r="N171" s="8"/>
      <c r="O171" s="8"/>
    </row>
    <row r="172">
      <c r="A172" s="92" t="s">
        <v>101</v>
      </c>
      <c r="B172" s="25"/>
      <c r="C172" s="73"/>
      <c r="D172" s="25"/>
      <c r="E172" s="25"/>
      <c r="F172" s="8"/>
      <c r="G172" s="8"/>
      <c r="H172" s="8"/>
      <c r="I172" s="8"/>
      <c r="J172" s="8"/>
      <c r="K172" s="8"/>
      <c r="L172" s="8"/>
      <c r="M172" s="8"/>
      <c r="N172" s="8"/>
      <c r="O172" s="8"/>
    </row>
    <row r="173">
      <c r="A173" s="93" t="s">
        <v>102</v>
      </c>
      <c r="B173" s="25"/>
      <c r="C173" s="73"/>
      <c r="D173" s="25"/>
      <c r="E173" s="25"/>
      <c r="F173" s="8"/>
      <c r="G173" s="8"/>
      <c r="H173" s="8"/>
      <c r="I173" s="8"/>
      <c r="J173" s="8"/>
      <c r="K173" s="8"/>
      <c r="L173" s="8"/>
      <c r="M173" s="8"/>
      <c r="N173" s="8"/>
      <c r="O173" s="8"/>
    </row>
    <row r="174">
      <c r="A174" s="94" t="s">
        <v>103</v>
      </c>
      <c r="B174" s="25"/>
      <c r="C174" s="73"/>
      <c r="D174" s="25"/>
      <c r="E174" s="25"/>
      <c r="F174" s="8"/>
      <c r="G174" s="8"/>
      <c r="H174" s="8"/>
      <c r="I174" s="8"/>
      <c r="J174" s="8"/>
      <c r="K174" s="8"/>
      <c r="L174" s="8"/>
      <c r="M174" s="8"/>
      <c r="N174" s="8"/>
      <c r="O174" s="8"/>
    </row>
    <row r="175">
      <c r="A175" s="95" t="s">
        <v>104</v>
      </c>
      <c r="B175" s="25"/>
      <c r="C175" s="73"/>
      <c r="D175" s="25"/>
      <c r="E175" s="25"/>
      <c r="F175" s="8"/>
      <c r="G175" s="8"/>
      <c r="H175" s="8"/>
      <c r="I175" s="8"/>
      <c r="J175" s="8"/>
      <c r="K175" s="8"/>
      <c r="L175" s="8"/>
      <c r="M175" s="8"/>
      <c r="N175" s="8"/>
      <c r="O175" s="8"/>
    </row>
    <row r="176">
      <c r="A176" s="96" t="s">
        <v>105</v>
      </c>
      <c r="B176" s="25"/>
      <c r="C176" s="73"/>
      <c r="D176" s="25"/>
      <c r="E176" s="25"/>
      <c r="F176" s="8"/>
      <c r="G176" s="8"/>
      <c r="H176" s="8"/>
      <c r="I176" s="8"/>
      <c r="J176" s="8"/>
      <c r="K176" s="8"/>
      <c r="L176" s="8"/>
      <c r="M176" s="8"/>
      <c r="N176" s="8"/>
      <c r="O176" s="8"/>
    </row>
    <row r="177">
      <c r="A177" s="97" t="s">
        <v>106</v>
      </c>
      <c r="B177" s="25"/>
      <c r="C177" s="73"/>
      <c r="D177" s="25"/>
      <c r="E177" s="25"/>
      <c r="F177" s="8"/>
      <c r="G177" s="8"/>
      <c r="H177" s="8"/>
      <c r="I177" s="8"/>
      <c r="J177" s="8"/>
      <c r="K177" s="8"/>
      <c r="L177" s="8"/>
      <c r="M177" s="8"/>
      <c r="N177" s="8"/>
      <c r="O177" s="8"/>
    </row>
    <row r="178">
      <c r="A178" s="66"/>
      <c r="B178" s="8"/>
      <c r="C178" s="17"/>
      <c r="D178" s="8"/>
      <c r="E178" s="8"/>
      <c r="F178" s="8"/>
      <c r="G178" s="8"/>
      <c r="H178" s="8"/>
      <c r="I178" s="8"/>
      <c r="J178" s="8"/>
      <c r="K178" s="8"/>
      <c r="L178" s="8"/>
      <c r="M178" s="8"/>
      <c r="N178" s="8"/>
      <c r="O178" s="8"/>
    </row>
    <row r="179">
      <c r="A179" s="66"/>
      <c r="B179" s="8"/>
      <c r="C179" s="17"/>
      <c r="D179" s="8"/>
      <c r="E179" s="8"/>
      <c r="F179" s="8"/>
      <c r="G179" s="8"/>
      <c r="H179" s="8"/>
      <c r="I179" s="8"/>
      <c r="J179" s="8"/>
      <c r="K179" s="8"/>
      <c r="L179" s="8"/>
      <c r="M179" s="8"/>
      <c r="N179" s="8"/>
      <c r="O179" s="8"/>
    </row>
    <row r="180">
      <c r="A180" s="66"/>
      <c r="B180" s="8"/>
      <c r="C180" s="17"/>
      <c r="D180" s="8"/>
      <c r="E180" s="8"/>
      <c r="F180" s="8"/>
      <c r="G180" s="8"/>
      <c r="H180" s="8"/>
      <c r="I180" s="8"/>
      <c r="J180" s="8"/>
      <c r="K180" s="8"/>
      <c r="L180" s="8"/>
      <c r="M180" s="8"/>
      <c r="N180" s="8"/>
      <c r="O180" s="8"/>
    </row>
    <row r="181">
      <c r="A181" s="66"/>
      <c r="B181" s="8"/>
      <c r="C181" s="17"/>
      <c r="D181" s="8"/>
      <c r="E181" s="8"/>
      <c r="F181" s="8"/>
      <c r="G181" s="8"/>
      <c r="H181" s="8"/>
      <c r="I181" s="8"/>
      <c r="J181" s="8"/>
      <c r="K181" s="8"/>
      <c r="L181" s="8"/>
      <c r="M181" s="8"/>
      <c r="N181" s="8"/>
      <c r="O181" s="8"/>
    </row>
    <row r="182">
      <c r="A182" s="66"/>
      <c r="B182" s="8"/>
      <c r="C182" s="17"/>
      <c r="D182" s="8"/>
      <c r="E182" s="8"/>
      <c r="F182" s="8"/>
      <c r="G182" s="8"/>
      <c r="H182" s="8"/>
      <c r="I182" s="8"/>
      <c r="J182" s="8"/>
      <c r="K182" s="8"/>
      <c r="L182" s="8"/>
      <c r="M182" s="8"/>
      <c r="N182" s="8"/>
      <c r="O182" s="8"/>
    </row>
  </sheetData>
  <mergeCells count="28">
    <mergeCell ref="G1:I1"/>
    <mergeCell ref="J1:L1"/>
    <mergeCell ref="M1:O1"/>
    <mergeCell ref="A7:A45"/>
    <mergeCell ref="B7:B9"/>
    <mergeCell ref="B10:B14"/>
    <mergeCell ref="B15:B23"/>
    <mergeCell ref="B41:B45"/>
    <mergeCell ref="A77:A99"/>
    <mergeCell ref="A100:A102"/>
    <mergeCell ref="A103:A119"/>
    <mergeCell ref="A120:A127"/>
    <mergeCell ref="A128:A134"/>
    <mergeCell ref="A135:A143"/>
    <mergeCell ref="A144:A147"/>
    <mergeCell ref="B103:B110"/>
    <mergeCell ref="B111:B114"/>
    <mergeCell ref="B115:B119"/>
    <mergeCell ref="F120:F127"/>
    <mergeCell ref="A153:D153"/>
    <mergeCell ref="A161:E161"/>
    <mergeCell ref="B24:B35"/>
    <mergeCell ref="B36:B40"/>
    <mergeCell ref="A46:A76"/>
    <mergeCell ref="B79:B81"/>
    <mergeCell ref="B82:B85"/>
    <mergeCell ref="B89:B92"/>
    <mergeCell ref="B93:B95"/>
  </mergeCells>
  <conditionalFormatting sqref="B3:D3 G4:O4">
    <cfRule type="cellIs" dxfId="14" priority="1" stopIfTrue="1" operator="equal">
      <formula>"Anu"</formula>
    </cfRule>
  </conditionalFormatting>
  <conditionalFormatting sqref="B3:D3 G4:O4">
    <cfRule type="cellIs" dxfId="0" priority="2" stopIfTrue="1" operator="equal">
      <formula>"Amrita"</formula>
    </cfRule>
  </conditionalFormatting>
  <conditionalFormatting sqref="B3:D3 G4:O4">
    <cfRule type="cellIs" dxfId="1" priority="3" stopIfTrue="1" operator="equal">
      <formula>"Soumya"</formula>
    </cfRule>
  </conditionalFormatting>
  <conditionalFormatting sqref="B3:D3 G4:O4">
    <cfRule type="cellIs" dxfId="2" priority="4" stopIfTrue="1" operator="equal">
      <formula>"Hannah"</formula>
    </cfRule>
  </conditionalFormatting>
  <conditionalFormatting sqref="B3:D3 G4:O4">
    <cfRule type="cellIs" dxfId="3" priority="5" stopIfTrue="1" operator="equal">
      <formula>"Naga Lakshmi"</formula>
    </cfRule>
  </conditionalFormatting>
  <conditionalFormatting sqref="B3:D3 G4:O4">
    <cfRule type="cellIs" dxfId="4" priority="6" stopIfTrue="1" operator="equal">
      <formula>"Nitin"</formula>
    </cfRule>
  </conditionalFormatting>
  <conditionalFormatting sqref="B3:D3 G4:O4">
    <cfRule type="cellIs" dxfId="15" priority="7" stopIfTrue="1" operator="equal">
      <formula>"Pankhuri"</formula>
    </cfRule>
  </conditionalFormatting>
  <conditionalFormatting sqref="B3:D3 G4:O4">
    <cfRule type="cellIs" dxfId="5" priority="8" stopIfTrue="1" operator="equal">
      <formula>"Ramakrishna"</formula>
    </cfRule>
  </conditionalFormatting>
  <conditionalFormatting sqref="B3:D3 G4:O4">
    <cfRule type="cellIs" dxfId="6" priority="9" stopIfTrue="1" operator="equal">
      <formula>"Abdul"</formula>
    </cfRule>
  </conditionalFormatting>
  <conditionalFormatting sqref="B3:D3 G4:O4">
    <cfRule type="cellIs" dxfId="7" priority="10" stopIfTrue="1" operator="equal">
      <formula>"Saheli"</formula>
    </cfRule>
  </conditionalFormatting>
  <conditionalFormatting sqref="B3:D3 G4:O4">
    <cfRule type="cellIs" dxfId="8" priority="11" stopIfTrue="1" operator="equal">
      <formula>"Prachi"</formula>
    </cfRule>
  </conditionalFormatting>
  <conditionalFormatting sqref="B3:D3 G4:O4">
    <cfRule type="cellIs" dxfId="9" priority="12" stopIfTrue="1" operator="equal">
      <formula>"Vishnu"</formula>
    </cfRule>
  </conditionalFormatting>
  <conditionalFormatting sqref="B3:D3 G4:O4">
    <cfRule type="cellIs" dxfId="10" priority="13" stopIfTrue="1" operator="equal">
      <formula>"Ivy"</formula>
    </cfRule>
  </conditionalFormatting>
  <conditionalFormatting sqref="B3:D3 G4:O4">
    <cfRule type="cellIs" dxfId="11" priority="14" stopIfTrue="1" operator="equal">
      <formula>"Rupal"</formula>
    </cfRule>
  </conditionalFormatting>
  <conditionalFormatting sqref="B3:D3 G4:O4">
    <cfRule type="cellIs" dxfId="25" priority="15" stopIfTrue="1" operator="equal">
      <formula>"Utkarsh"</formula>
    </cfRule>
  </conditionalFormatting>
  <conditionalFormatting sqref="G6:G147 H6:H81 I6:I86 J6:K147 L6:L86 M6:N147 O6:O86 H85:H147 I89:I147 L89:L147 O89:O147">
    <cfRule type="cellIs" dxfId="16" priority="16" stopIfTrue="1" operator="equal">
      <formula>"OK"</formula>
    </cfRule>
  </conditionalFormatting>
  <conditionalFormatting sqref="B3:D3 G4:O4 G6:G147 H6:H81 I6:I86 J6:K147 L6:L86 M6:N147 O6:O86 H85:H147 I89:I147 L89:L147 O89:O147">
    <cfRule type="cellIs" dxfId="18" priority="17" stopIfTrue="1" operator="equal">
      <formula>"Not Tested"</formula>
    </cfRule>
  </conditionalFormatting>
  <conditionalFormatting sqref="G6:G147 H6:H81 I6:I86 J6:K147 L6:L86 M6:N147 O6:O86 H85:H147 I89:I147 L89:L147 O89:O147">
    <cfRule type="cellIs" dxfId="19" priority="18" stopIfTrue="1" operator="equal">
      <formula>"N/A"</formula>
    </cfRule>
  </conditionalFormatting>
  <conditionalFormatting sqref="B2:D2 G3:O3">
    <cfRule type="containsText" dxfId="20" priority="19" stopIfTrue="1" operator="containsText" text="Incomplete">
      <formula>NOT(ISERROR(SEARCH(("Incomplete"),(B2))))</formula>
    </cfRule>
  </conditionalFormatting>
  <conditionalFormatting sqref="B2:D2 G3:O3">
    <cfRule type="containsText" dxfId="17" priority="20" stopIfTrue="1" operator="containsText" text="Broken">
      <formula>NOT(ISERROR(SEARCH(("Broken"),(B2))))</formula>
    </cfRule>
  </conditionalFormatting>
  <conditionalFormatting sqref="B2:D2 G3:O3">
    <cfRule type="containsText" dxfId="21" priority="21" stopIfTrue="1" operator="containsText" text="Some problems">
      <formula>NOT(ISERROR(SEARCH(("Some problems"),(B2))))</formula>
    </cfRule>
  </conditionalFormatting>
  <conditionalFormatting sqref="B2:D2 G3:O3">
    <cfRule type="containsText" dxfId="22" priority="22" stopIfTrue="1" operator="containsText" text="All OK">
      <formula>NOT(ISERROR(SEARCH(("All OK"),(B2))))</formula>
    </cfRule>
  </conditionalFormatting>
  <conditionalFormatting sqref="B2:D2 G3:O3">
    <cfRule type="containsText" dxfId="23" priority="23" stopIfTrue="1" operator="containsText" text="In Progress">
      <formula>NOT(ISERROR(SEARCH(("In Progress"),(B2))))</formula>
    </cfRule>
  </conditionalFormatting>
  <conditionalFormatting sqref="B2:D2 G3:O3">
    <cfRule type="containsText" dxfId="24" priority="24" stopIfTrue="1" operator="containsText" text="Not Tested">
      <formula>NOT(ISERROR(SEARCH(("Not Tested"),(B2))))</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7" t="s">
        <v>415</v>
      </c>
      <c r="B1" s="2" t="s">
        <v>108</v>
      </c>
      <c r="C1" s="2" t="s">
        <v>109</v>
      </c>
      <c r="D1" s="2" t="s">
        <v>110</v>
      </c>
      <c r="E1" s="3"/>
      <c r="F1" s="4" t="s">
        <v>0</v>
      </c>
      <c r="G1" s="5" t="s">
        <v>415</v>
      </c>
      <c r="H1" s="6"/>
      <c r="I1" s="7"/>
      <c r="J1" s="5" t="s">
        <v>416</v>
      </c>
      <c r="K1" s="6"/>
      <c r="L1" s="7"/>
      <c r="M1" s="5" t="s">
        <v>417</v>
      </c>
      <c r="N1" s="6"/>
      <c r="O1" s="7"/>
    </row>
    <row r="2">
      <c r="A2" s="218"/>
      <c r="B2" s="10" t="s">
        <v>147</v>
      </c>
      <c r="C2" s="10" t="s">
        <v>10</v>
      </c>
      <c r="D2" s="10" t="s">
        <v>10</v>
      </c>
      <c r="E2" s="8"/>
      <c r="F2" s="11" t="s">
        <v>4</v>
      </c>
      <c r="G2" s="12" t="s">
        <v>5</v>
      </c>
      <c r="H2" s="12" t="s">
        <v>6</v>
      </c>
      <c r="I2" s="12" t="s">
        <v>7</v>
      </c>
      <c r="J2" s="12" t="s">
        <v>5</v>
      </c>
      <c r="K2" s="12" t="s">
        <v>6</v>
      </c>
      <c r="L2" s="12" t="s">
        <v>7</v>
      </c>
      <c r="M2" s="12" t="s">
        <v>5</v>
      </c>
      <c r="N2" s="12" t="s">
        <v>6</v>
      </c>
      <c r="O2" s="12" t="s">
        <v>7</v>
      </c>
    </row>
    <row r="3">
      <c r="A3" s="219" t="s">
        <v>8</v>
      </c>
      <c r="B3" s="10" t="s">
        <v>103</v>
      </c>
      <c r="C3" s="10" t="s">
        <v>13</v>
      </c>
      <c r="D3" s="10" t="s">
        <v>13</v>
      </c>
      <c r="E3" s="8"/>
      <c r="F3" s="14" t="s">
        <v>9</v>
      </c>
      <c r="G3" s="15" t="s">
        <v>12</v>
      </c>
      <c r="H3" s="15" t="s">
        <v>10</v>
      </c>
      <c r="I3" s="15" t="s">
        <v>10</v>
      </c>
      <c r="J3" s="15" t="s">
        <v>10</v>
      </c>
      <c r="K3" s="15" t="s">
        <v>10</v>
      </c>
      <c r="L3" s="15" t="s">
        <v>10</v>
      </c>
      <c r="M3" s="15" t="s">
        <v>10</v>
      </c>
      <c r="N3" s="15" t="s">
        <v>10</v>
      </c>
      <c r="O3" s="15" t="s">
        <v>10</v>
      </c>
    </row>
    <row r="4">
      <c r="A4" s="220"/>
      <c r="B4" s="8"/>
      <c r="C4" s="8"/>
      <c r="D4" s="8"/>
      <c r="E4" s="8"/>
      <c r="F4" s="18"/>
      <c r="G4" s="15" t="s">
        <v>103</v>
      </c>
      <c r="H4" s="15" t="s">
        <v>13</v>
      </c>
      <c r="I4" s="15" t="s">
        <v>13</v>
      </c>
      <c r="J4" s="15" t="s">
        <v>13</v>
      </c>
      <c r="K4" s="15" t="s">
        <v>89</v>
      </c>
      <c r="L4" s="15" t="s">
        <v>13</v>
      </c>
      <c r="M4" s="15" t="s">
        <v>89</v>
      </c>
      <c r="N4" s="15" t="s">
        <v>105</v>
      </c>
      <c r="O4" s="15" t="s">
        <v>103</v>
      </c>
    </row>
    <row r="5">
      <c r="A5" s="221" t="s">
        <v>15</v>
      </c>
      <c r="B5" s="20" t="s">
        <v>16</v>
      </c>
      <c r="C5" s="20" t="s">
        <v>17</v>
      </c>
      <c r="D5" s="21" t="s">
        <v>18</v>
      </c>
      <c r="E5" s="21" t="s">
        <v>19</v>
      </c>
      <c r="F5" s="22" t="s">
        <v>20</v>
      </c>
      <c r="G5" s="23"/>
      <c r="H5" s="23"/>
      <c r="I5" s="23"/>
      <c r="J5" s="23"/>
      <c r="K5" s="23"/>
      <c r="L5" s="23"/>
      <c r="M5" s="23"/>
      <c r="N5" s="23"/>
      <c r="O5" s="23"/>
    </row>
    <row r="6">
      <c r="A6" s="222" t="s">
        <v>32</v>
      </c>
      <c r="B6" s="223"/>
      <c r="C6" s="224" t="s">
        <v>418</v>
      </c>
      <c r="D6" s="8"/>
      <c r="E6" s="8"/>
      <c r="F6" s="18"/>
      <c r="G6" s="63"/>
      <c r="H6" s="63"/>
      <c r="I6" s="225"/>
      <c r="J6" s="63"/>
      <c r="K6" s="63"/>
      <c r="L6" s="225"/>
      <c r="M6" s="23"/>
      <c r="N6" s="23"/>
      <c r="O6" s="225" t="s">
        <v>419</v>
      </c>
    </row>
    <row r="7">
      <c r="A7" s="226"/>
      <c r="B7" s="8"/>
      <c r="C7" s="227" t="s">
        <v>420</v>
      </c>
      <c r="D7" s="8"/>
      <c r="E7" s="8"/>
      <c r="F7" s="18"/>
      <c r="G7" s="63"/>
      <c r="H7" s="63"/>
      <c r="I7" s="63"/>
      <c r="J7" s="63"/>
      <c r="K7" s="63"/>
      <c r="L7" s="63"/>
      <c r="M7" s="23"/>
      <c r="N7" s="23"/>
      <c r="O7" s="23"/>
    </row>
    <row r="8">
      <c r="A8" s="226"/>
      <c r="B8" s="8"/>
      <c r="C8" s="227" t="s">
        <v>421</v>
      </c>
      <c r="D8" s="8"/>
      <c r="E8" s="8"/>
      <c r="F8" s="18"/>
      <c r="G8" s="63"/>
      <c r="H8" s="63"/>
      <c r="I8" s="63"/>
      <c r="J8" s="63"/>
      <c r="K8" s="63"/>
      <c r="L8" s="63"/>
      <c r="M8" s="23"/>
      <c r="N8" s="23"/>
      <c r="O8" s="23"/>
    </row>
    <row r="9">
      <c r="A9" s="226"/>
      <c r="B9" s="8"/>
      <c r="C9" s="227" t="s">
        <v>422</v>
      </c>
      <c r="D9" s="8"/>
      <c r="E9" s="8"/>
      <c r="F9" s="18"/>
      <c r="G9" s="63"/>
      <c r="H9" s="63"/>
      <c r="I9" s="63"/>
      <c r="J9" s="63"/>
      <c r="K9" s="63"/>
      <c r="L9" s="63"/>
      <c r="M9" s="23"/>
      <c r="N9" s="23"/>
      <c r="O9" s="23"/>
    </row>
    <row r="10">
      <c r="A10" s="226"/>
      <c r="B10" s="8"/>
      <c r="C10" s="227" t="s">
        <v>213</v>
      </c>
      <c r="D10" s="8"/>
      <c r="E10" s="8"/>
      <c r="F10" s="18"/>
      <c r="G10" s="63"/>
      <c r="H10" s="63"/>
      <c r="I10" s="63"/>
      <c r="J10" s="63"/>
      <c r="K10" s="63"/>
      <c r="L10" s="63"/>
      <c r="M10" s="23"/>
      <c r="N10" s="23"/>
      <c r="O10" s="23"/>
    </row>
    <row r="11">
      <c r="A11" s="226"/>
      <c r="B11" s="8"/>
      <c r="C11" s="227" t="s">
        <v>215</v>
      </c>
      <c r="D11" s="8"/>
      <c r="E11" s="8"/>
      <c r="F11" s="18"/>
      <c r="G11" s="63"/>
      <c r="H11" s="63"/>
      <c r="I11" s="63"/>
      <c r="J11" s="63"/>
      <c r="K11" s="63"/>
      <c r="L11" s="63"/>
      <c r="M11" s="23"/>
      <c r="N11" s="23"/>
      <c r="O11" s="23"/>
    </row>
    <row r="12">
      <c r="A12" s="226"/>
      <c r="B12" s="8"/>
      <c r="C12" s="228"/>
      <c r="D12" s="8"/>
      <c r="E12" s="8"/>
      <c r="F12" s="18"/>
      <c r="G12" s="63"/>
      <c r="H12" s="63"/>
      <c r="I12" s="63"/>
      <c r="J12" s="63"/>
      <c r="K12" s="63"/>
      <c r="L12" s="63"/>
      <c r="M12" s="23"/>
      <c r="N12" s="23"/>
      <c r="O12" s="23"/>
    </row>
    <row r="13">
      <c r="A13" s="226"/>
      <c r="B13" s="8"/>
      <c r="C13" s="228"/>
      <c r="D13" s="8"/>
      <c r="E13" s="8"/>
      <c r="F13" s="18"/>
      <c r="G13" s="63"/>
      <c r="H13" s="63"/>
      <c r="I13" s="63"/>
      <c r="J13" s="63"/>
      <c r="K13" s="63"/>
      <c r="L13" s="63"/>
      <c r="M13" s="23"/>
      <c r="N13" s="23"/>
      <c r="O13" s="23"/>
    </row>
    <row r="14">
      <c r="A14" s="226"/>
      <c r="B14" s="8"/>
      <c r="C14" s="228"/>
      <c r="D14" s="8"/>
      <c r="E14" s="8"/>
      <c r="F14" s="18"/>
      <c r="G14" s="63"/>
      <c r="H14" s="63"/>
      <c r="I14" s="63"/>
      <c r="J14" s="63"/>
      <c r="K14" s="63"/>
      <c r="L14" s="63"/>
      <c r="M14" s="23"/>
      <c r="N14" s="23"/>
      <c r="O14" s="23"/>
    </row>
    <row r="15">
      <c r="A15" s="226"/>
      <c r="B15" s="8"/>
      <c r="C15" s="228"/>
      <c r="D15" s="8"/>
      <c r="E15" s="8"/>
      <c r="F15" s="18"/>
      <c r="G15" s="63"/>
      <c r="H15" s="63"/>
      <c r="I15" s="63"/>
      <c r="J15" s="63"/>
      <c r="K15" s="63"/>
      <c r="L15" s="63"/>
      <c r="M15" s="23"/>
      <c r="N15" s="23"/>
      <c r="O15" s="23"/>
    </row>
    <row r="16">
      <c r="A16" s="226"/>
      <c r="B16" s="8"/>
      <c r="C16" s="228"/>
      <c r="D16" s="8"/>
      <c r="E16" s="8"/>
      <c r="F16" s="18"/>
      <c r="G16" s="63"/>
      <c r="H16" s="63"/>
      <c r="I16" s="63"/>
      <c r="J16" s="63"/>
      <c r="K16" s="63"/>
      <c r="L16" s="63"/>
      <c r="M16" s="23"/>
      <c r="N16" s="23"/>
      <c r="O16" s="23"/>
    </row>
    <row r="17">
      <c r="A17" s="226"/>
      <c r="B17" s="8"/>
      <c r="C17" s="228"/>
      <c r="D17" s="8"/>
      <c r="E17" s="8"/>
      <c r="F17" s="18"/>
      <c r="G17" s="63"/>
      <c r="H17" s="63"/>
      <c r="I17" s="63"/>
      <c r="J17" s="63"/>
      <c r="K17" s="63"/>
      <c r="L17" s="63"/>
      <c r="M17" s="23"/>
      <c r="N17" s="23"/>
      <c r="O17" s="23"/>
    </row>
    <row r="18">
      <c r="A18" s="226"/>
      <c r="B18" s="8"/>
      <c r="C18" s="228"/>
      <c r="D18" s="8"/>
      <c r="E18" s="8"/>
      <c r="F18" s="18"/>
      <c r="G18" s="63"/>
      <c r="H18" s="63"/>
      <c r="I18" s="63"/>
      <c r="J18" s="63"/>
      <c r="K18" s="63"/>
      <c r="L18" s="63"/>
      <c r="M18" s="23"/>
      <c r="N18" s="23"/>
      <c r="O18" s="23"/>
    </row>
    <row r="19">
      <c r="A19" s="226"/>
      <c r="B19" s="8"/>
      <c r="C19" s="228"/>
      <c r="D19" s="8"/>
      <c r="E19" s="8"/>
      <c r="F19" s="18"/>
      <c r="G19" s="63"/>
      <c r="H19" s="63"/>
      <c r="I19" s="63"/>
      <c r="J19" s="63"/>
      <c r="K19" s="63"/>
      <c r="L19" s="63"/>
      <c r="M19" s="23"/>
      <c r="N19" s="23"/>
      <c r="O19" s="23"/>
    </row>
    <row r="20">
      <c r="A20" s="226"/>
      <c r="B20" s="8"/>
      <c r="C20" s="228"/>
      <c r="D20" s="8"/>
      <c r="E20" s="8"/>
      <c r="F20" s="18"/>
      <c r="G20" s="63"/>
      <c r="H20" s="63"/>
      <c r="I20" s="63"/>
      <c r="J20" s="63"/>
      <c r="K20" s="63"/>
      <c r="L20" s="63"/>
      <c r="M20" s="23"/>
      <c r="N20" s="23"/>
      <c r="O20" s="23"/>
    </row>
    <row r="21">
      <c r="A21" s="229" t="s">
        <v>267</v>
      </c>
      <c r="B21" s="8"/>
      <c r="C21" s="230" t="s">
        <v>268</v>
      </c>
      <c r="D21" s="8"/>
      <c r="E21" s="8"/>
      <c r="F21" s="147"/>
      <c r="G21" s="28" t="s">
        <v>24</v>
      </c>
      <c r="H21" s="63"/>
      <c r="I21" s="63"/>
      <c r="J21" s="63"/>
      <c r="K21" s="63"/>
      <c r="L21" s="63"/>
      <c r="M21" s="23"/>
      <c r="N21" s="23"/>
      <c r="O21" s="23"/>
    </row>
    <row r="22">
      <c r="A22" s="226"/>
      <c r="B22" s="8"/>
      <c r="C22" s="230" t="s">
        <v>269</v>
      </c>
      <c r="D22" s="8"/>
      <c r="E22" s="8"/>
      <c r="F22" s="18"/>
      <c r="G22" s="28" t="s">
        <v>24</v>
      </c>
      <c r="H22" s="63"/>
      <c r="I22" s="63"/>
      <c r="J22" s="63"/>
      <c r="K22" s="63"/>
      <c r="L22" s="63"/>
      <c r="M22" s="23"/>
      <c r="N22" s="23"/>
      <c r="O22" s="23"/>
    </row>
    <row r="23">
      <c r="A23" s="226"/>
      <c r="B23" s="8"/>
      <c r="C23" s="230" t="s">
        <v>271</v>
      </c>
      <c r="D23" s="8"/>
      <c r="E23" s="8"/>
      <c r="F23" s="18"/>
      <c r="G23" s="28" t="s">
        <v>24</v>
      </c>
      <c r="H23" s="63"/>
      <c r="I23" s="63"/>
      <c r="J23" s="63"/>
      <c r="K23" s="63"/>
      <c r="L23" s="63"/>
      <c r="M23" s="23"/>
      <c r="N23" s="23"/>
      <c r="O23" s="23"/>
    </row>
    <row r="24">
      <c r="A24" s="226"/>
      <c r="B24" s="8"/>
      <c r="C24" s="230" t="s">
        <v>388</v>
      </c>
      <c r="D24" s="8"/>
      <c r="E24" s="8"/>
      <c r="F24" s="18"/>
      <c r="G24" s="28" t="s">
        <v>24</v>
      </c>
      <c r="H24" s="63"/>
      <c r="I24" s="63"/>
      <c r="J24" s="63"/>
      <c r="K24" s="63"/>
      <c r="L24" s="63"/>
      <c r="M24" s="23"/>
      <c r="N24" s="23"/>
      <c r="O24" s="23"/>
    </row>
    <row r="25">
      <c r="A25" s="226"/>
      <c r="B25" s="8"/>
      <c r="C25" s="230" t="s">
        <v>273</v>
      </c>
      <c r="D25" s="8"/>
      <c r="E25" s="8"/>
      <c r="F25" s="18"/>
      <c r="G25" s="28" t="s">
        <v>24</v>
      </c>
      <c r="H25" s="63"/>
      <c r="I25" s="63"/>
      <c r="J25" s="63"/>
      <c r="K25" s="63"/>
      <c r="L25" s="63"/>
      <c r="M25" s="23"/>
      <c r="N25" s="23"/>
      <c r="O25" s="23"/>
    </row>
    <row r="26">
      <c r="A26" s="226"/>
      <c r="B26" s="8"/>
      <c r="C26" s="230" t="s">
        <v>274</v>
      </c>
      <c r="D26" s="8"/>
      <c r="E26" s="8"/>
      <c r="F26" s="59" t="s">
        <v>423</v>
      </c>
      <c r="G26" s="28" t="s">
        <v>24</v>
      </c>
      <c r="H26" s="63"/>
      <c r="I26" s="63"/>
      <c r="J26" s="63"/>
      <c r="K26" s="63"/>
      <c r="L26" s="63"/>
      <c r="M26" s="23"/>
      <c r="N26" s="23"/>
      <c r="O26" s="23"/>
    </row>
    <row r="27">
      <c r="A27" s="226"/>
      <c r="B27" s="8"/>
      <c r="C27" s="230" t="s">
        <v>276</v>
      </c>
      <c r="D27" s="8"/>
      <c r="E27" s="8"/>
      <c r="F27" s="18"/>
      <c r="G27" s="28" t="s">
        <v>24</v>
      </c>
      <c r="H27" s="63"/>
      <c r="I27" s="63"/>
      <c r="J27" s="63"/>
      <c r="K27" s="63"/>
      <c r="L27" s="63"/>
      <c r="M27" s="23"/>
      <c r="N27" s="23"/>
      <c r="O27" s="23"/>
    </row>
    <row r="28">
      <c r="A28" s="226"/>
      <c r="B28" s="8"/>
      <c r="C28" s="230" t="s">
        <v>277</v>
      </c>
      <c r="D28" s="8"/>
      <c r="E28" s="8"/>
      <c r="F28" s="18"/>
      <c r="G28" s="28" t="s">
        <v>24</v>
      </c>
      <c r="H28" s="63"/>
      <c r="I28" s="63"/>
      <c r="J28" s="63"/>
      <c r="K28" s="63"/>
      <c r="L28" s="63"/>
      <c r="M28" s="23"/>
      <c r="N28" s="23"/>
      <c r="O28" s="23"/>
    </row>
    <row r="29">
      <c r="A29" s="226"/>
      <c r="B29" s="8"/>
      <c r="C29" s="230" t="s">
        <v>278</v>
      </c>
      <c r="D29" s="8"/>
      <c r="E29" s="8"/>
      <c r="F29" s="18"/>
      <c r="G29" s="28" t="s">
        <v>24</v>
      </c>
      <c r="H29" s="63"/>
      <c r="I29" s="63"/>
      <c r="J29" s="63"/>
      <c r="K29" s="63"/>
      <c r="L29" s="63"/>
      <c r="M29" s="23"/>
      <c r="N29" s="23"/>
      <c r="O29" s="23"/>
    </row>
    <row r="30">
      <c r="A30" s="226"/>
      <c r="B30" s="8"/>
      <c r="C30" s="230" t="s">
        <v>279</v>
      </c>
      <c r="D30" s="8"/>
      <c r="E30" s="8"/>
      <c r="F30" s="18"/>
      <c r="G30" s="28" t="s">
        <v>24</v>
      </c>
      <c r="H30" s="63"/>
      <c r="I30" s="63"/>
      <c r="J30" s="63"/>
      <c r="K30" s="63"/>
      <c r="L30" s="63"/>
      <c r="M30" s="23"/>
      <c r="N30" s="23"/>
      <c r="O30" s="23"/>
    </row>
    <row r="31">
      <c r="A31" s="226"/>
      <c r="B31" s="8"/>
      <c r="C31" s="230" t="s">
        <v>280</v>
      </c>
      <c r="D31" s="8"/>
      <c r="E31" s="8"/>
      <c r="F31" s="18"/>
      <c r="G31" s="28" t="s">
        <v>24</v>
      </c>
      <c r="H31" s="63"/>
      <c r="I31" s="63"/>
      <c r="J31" s="63"/>
      <c r="K31" s="63"/>
      <c r="L31" s="63"/>
      <c r="M31" s="23"/>
      <c r="N31" s="23"/>
      <c r="O31" s="23"/>
    </row>
    <row r="32">
      <c r="A32" s="226"/>
      <c r="B32" s="8"/>
      <c r="C32" s="231" t="s">
        <v>281</v>
      </c>
      <c r="D32" s="8"/>
      <c r="E32" s="8"/>
      <c r="F32" s="18"/>
      <c r="G32" s="28" t="s">
        <v>24</v>
      </c>
      <c r="H32" s="63"/>
      <c r="I32" s="63"/>
      <c r="J32" s="63"/>
      <c r="K32" s="63"/>
      <c r="L32" s="63"/>
      <c r="M32" s="23"/>
      <c r="N32" s="23"/>
      <c r="O32" s="23"/>
    </row>
    <row r="33">
      <c r="A33" s="226"/>
      <c r="B33" s="8"/>
      <c r="C33" s="230" t="s">
        <v>424</v>
      </c>
      <c r="D33" s="8"/>
      <c r="E33" s="8"/>
      <c r="F33" s="18"/>
      <c r="G33" s="28" t="s">
        <v>24</v>
      </c>
      <c r="H33" s="63"/>
      <c r="I33" s="63"/>
      <c r="J33" s="63"/>
      <c r="K33" s="63"/>
      <c r="L33" s="63"/>
      <c r="M33" s="23"/>
      <c r="N33" s="23"/>
      <c r="O33" s="23"/>
    </row>
    <row r="34">
      <c r="A34" s="226"/>
      <c r="B34" s="8"/>
      <c r="C34" s="230" t="s">
        <v>425</v>
      </c>
      <c r="D34" s="8"/>
      <c r="E34" s="8"/>
      <c r="F34" s="18"/>
      <c r="G34" s="28" t="s">
        <v>24</v>
      </c>
      <c r="H34" s="63"/>
      <c r="I34" s="63"/>
      <c r="J34" s="63"/>
      <c r="K34" s="63"/>
      <c r="L34" s="63"/>
      <c r="M34" s="23"/>
      <c r="N34" s="23"/>
      <c r="O34" s="23"/>
    </row>
    <row r="35">
      <c r="A35" s="226"/>
      <c r="B35" s="8"/>
      <c r="C35" s="230" t="s">
        <v>285</v>
      </c>
      <c r="D35" s="8"/>
      <c r="E35" s="8"/>
      <c r="F35" s="18"/>
      <c r="G35" s="63"/>
      <c r="H35" s="63"/>
      <c r="I35" s="63"/>
      <c r="J35" s="63"/>
      <c r="K35" s="63"/>
      <c r="L35" s="63"/>
      <c r="M35" s="23"/>
      <c r="N35" s="23"/>
      <c r="O35" s="23"/>
    </row>
    <row r="36">
      <c r="A36" s="226"/>
      <c r="B36" s="8"/>
      <c r="C36" s="230" t="s">
        <v>426</v>
      </c>
      <c r="D36" s="8"/>
      <c r="E36" s="8"/>
      <c r="F36" s="18"/>
      <c r="G36" s="28" t="s">
        <v>24</v>
      </c>
      <c r="H36" s="63"/>
      <c r="I36" s="63"/>
      <c r="J36" s="63"/>
      <c r="K36" s="63"/>
      <c r="L36" s="63"/>
      <c r="M36" s="23"/>
      <c r="N36" s="23"/>
      <c r="O36" s="23"/>
    </row>
    <row r="37">
      <c r="A37" s="226"/>
      <c r="B37" s="8"/>
      <c r="C37" s="230" t="s">
        <v>427</v>
      </c>
      <c r="D37" s="8"/>
      <c r="E37" s="8"/>
      <c r="F37" s="18"/>
      <c r="G37" s="63"/>
      <c r="H37" s="63"/>
      <c r="I37" s="63"/>
      <c r="J37" s="63"/>
      <c r="K37" s="63"/>
      <c r="L37" s="63"/>
      <c r="M37" s="23"/>
      <c r="N37" s="23"/>
      <c r="O37" s="23"/>
    </row>
    <row r="38">
      <c r="A38" s="226"/>
      <c r="B38" s="8"/>
      <c r="C38" s="230" t="s">
        <v>428</v>
      </c>
      <c r="D38" s="8"/>
      <c r="E38" s="8"/>
      <c r="F38" s="18"/>
      <c r="G38" s="63"/>
      <c r="H38" s="63"/>
      <c r="I38" s="63"/>
      <c r="J38" s="63"/>
      <c r="K38" s="63"/>
      <c r="L38" s="63"/>
      <c r="M38" s="23"/>
      <c r="N38" s="23"/>
      <c r="O38" s="23"/>
    </row>
    <row r="39">
      <c r="A39" s="226"/>
      <c r="B39" s="8"/>
      <c r="C39" s="230" t="s">
        <v>429</v>
      </c>
      <c r="D39" s="8"/>
      <c r="E39" s="8"/>
      <c r="F39" s="18"/>
      <c r="G39" s="63"/>
      <c r="H39" s="63"/>
      <c r="I39" s="63"/>
      <c r="J39" s="63"/>
      <c r="K39" s="63"/>
      <c r="L39" s="63"/>
      <c r="M39" s="23"/>
      <c r="N39" s="23"/>
      <c r="O39" s="23"/>
    </row>
    <row r="40">
      <c r="A40" s="226"/>
      <c r="B40" s="8"/>
      <c r="C40" s="231" t="s">
        <v>297</v>
      </c>
      <c r="D40" s="8"/>
      <c r="E40" s="8"/>
      <c r="F40" s="18"/>
      <c r="G40" s="63"/>
      <c r="H40" s="63"/>
      <c r="I40" s="63"/>
      <c r="J40" s="63"/>
      <c r="K40" s="63"/>
      <c r="L40" s="63"/>
      <c r="M40" s="23"/>
      <c r="N40" s="23"/>
      <c r="O40" s="23"/>
    </row>
    <row r="41">
      <c r="A41" s="226"/>
      <c r="B41" s="8"/>
      <c r="C41" s="231" t="s">
        <v>298</v>
      </c>
      <c r="D41" s="8"/>
      <c r="E41" s="8"/>
      <c r="F41" s="18"/>
      <c r="G41" s="63"/>
      <c r="H41" s="63"/>
      <c r="I41" s="63"/>
      <c r="J41" s="63"/>
      <c r="K41" s="63"/>
      <c r="L41" s="63"/>
      <c r="M41" s="23"/>
      <c r="N41" s="23"/>
      <c r="O41" s="23"/>
    </row>
    <row r="42">
      <c r="A42" s="226"/>
      <c r="B42" s="8"/>
      <c r="C42" s="232" t="s">
        <v>299</v>
      </c>
      <c r="D42" s="8"/>
      <c r="E42" s="8"/>
      <c r="F42" s="18"/>
      <c r="G42" s="63"/>
      <c r="H42" s="63"/>
      <c r="I42" s="63"/>
      <c r="J42" s="63"/>
      <c r="K42" s="63"/>
      <c r="L42" s="63"/>
      <c r="M42" s="23"/>
      <c r="N42" s="23"/>
      <c r="O42" s="23"/>
    </row>
    <row r="43">
      <c r="A43" s="226"/>
      <c r="B43" s="8"/>
      <c r="C43" s="231" t="s">
        <v>430</v>
      </c>
      <c r="D43" s="8"/>
      <c r="E43" s="8"/>
      <c r="F43" s="18"/>
      <c r="G43" s="63"/>
      <c r="H43" s="63"/>
      <c r="I43" s="63"/>
      <c r="J43" s="63"/>
      <c r="K43" s="63"/>
      <c r="L43" s="63"/>
      <c r="M43" s="23"/>
      <c r="N43" s="23"/>
      <c r="O43" s="23"/>
    </row>
    <row r="44">
      <c r="A44" s="226"/>
      <c r="B44" s="8"/>
      <c r="C44" s="233"/>
      <c r="D44" s="8"/>
      <c r="E44" s="8"/>
      <c r="F44" s="18"/>
      <c r="G44" s="63"/>
      <c r="H44" s="63"/>
      <c r="I44" s="63"/>
      <c r="J44" s="63"/>
      <c r="K44" s="63"/>
      <c r="L44" s="63"/>
      <c r="M44" s="23"/>
      <c r="N44" s="23"/>
      <c r="O44" s="23"/>
    </row>
    <row r="45">
      <c r="A45" s="226"/>
      <c r="B45" s="8"/>
      <c r="C45" s="230" t="s">
        <v>431</v>
      </c>
      <c r="D45" s="8"/>
      <c r="E45" s="8"/>
      <c r="F45" s="18"/>
      <c r="G45" s="63"/>
      <c r="H45" s="63"/>
      <c r="I45" s="63"/>
      <c r="J45" s="63"/>
      <c r="K45" s="63"/>
      <c r="L45" s="63"/>
      <c r="M45" s="23"/>
      <c r="N45" s="23"/>
      <c r="O45" s="23"/>
    </row>
    <row r="46">
      <c r="A46" s="226"/>
      <c r="B46" s="8"/>
      <c r="C46" s="230" t="s">
        <v>432</v>
      </c>
      <c r="D46" s="8"/>
      <c r="E46" s="8"/>
      <c r="F46" s="18"/>
      <c r="G46" s="63"/>
      <c r="H46" s="63"/>
      <c r="I46" s="63"/>
      <c r="J46" s="63"/>
      <c r="K46" s="63"/>
      <c r="L46" s="63"/>
      <c r="M46" s="23"/>
      <c r="N46" s="23"/>
      <c r="O46" s="23"/>
    </row>
    <row r="47">
      <c r="A47" s="226"/>
      <c r="B47" s="8"/>
      <c r="C47" s="230" t="s">
        <v>301</v>
      </c>
      <c r="D47" s="8"/>
      <c r="E47" s="8"/>
      <c r="F47" s="18"/>
      <c r="G47" s="63"/>
      <c r="H47" s="63"/>
      <c r="I47" s="63"/>
      <c r="J47" s="63"/>
      <c r="K47" s="63"/>
      <c r="L47" s="63"/>
      <c r="M47" s="23"/>
      <c r="N47" s="23"/>
      <c r="O47" s="23"/>
    </row>
    <row r="48">
      <c r="A48" s="229"/>
      <c r="B48" s="8"/>
      <c r="C48" s="230" t="s">
        <v>21</v>
      </c>
      <c r="D48" s="8"/>
      <c r="E48" s="8"/>
      <c r="F48" s="18"/>
      <c r="G48" s="63"/>
      <c r="H48" s="63"/>
      <c r="I48" s="63"/>
      <c r="J48" s="63"/>
      <c r="K48" s="63"/>
      <c r="L48" s="63"/>
      <c r="M48" s="23"/>
      <c r="N48" s="23"/>
      <c r="O48" s="23"/>
    </row>
    <row r="49">
      <c r="A49" s="229" t="s">
        <v>125</v>
      </c>
      <c r="B49" s="110" t="s">
        <v>392</v>
      </c>
      <c r="C49" s="234" t="s">
        <v>393</v>
      </c>
      <c r="D49" s="8"/>
      <c r="E49" s="8"/>
      <c r="F49" s="99"/>
      <c r="G49" s="28" t="s">
        <v>24</v>
      </c>
      <c r="H49" s="63"/>
      <c r="I49" s="28"/>
      <c r="J49" s="63"/>
      <c r="K49" s="63"/>
      <c r="L49" s="28"/>
      <c r="M49" s="23"/>
      <c r="N49" s="23"/>
      <c r="O49" s="15" t="s">
        <v>24</v>
      </c>
    </row>
    <row r="50">
      <c r="A50" s="226"/>
      <c r="B50" s="110" t="s">
        <v>25</v>
      </c>
      <c r="C50" s="235" t="s">
        <v>26</v>
      </c>
      <c r="D50" s="8"/>
      <c r="E50" s="8"/>
      <c r="F50" s="99" t="s">
        <v>27</v>
      </c>
      <c r="G50" s="63"/>
      <c r="H50" s="63"/>
      <c r="I50" s="28"/>
      <c r="J50" s="63"/>
      <c r="K50" s="63"/>
      <c r="L50" s="28"/>
      <c r="M50" s="23"/>
      <c r="N50" s="23"/>
      <c r="O50" s="15" t="s">
        <v>24</v>
      </c>
    </row>
    <row r="51">
      <c r="A51" s="226"/>
      <c r="C51" s="235" t="s">
        <v>394</v>
      </c>
      <c r="D51" s="8"/>
      <c r="E51" s="8"/>
      <c r="F51" s="59" t="s">
        <v>30</v>
      </c>
      <c r="G51" s="63"/>
      <c r="H51" s="63"/>
      <c r="I51" s="124"/>
      <c r="J51" s="63"/>
      <c r="K51" s="63"/>
      <c r="L51" s="124"/>
      <c r="M51" s="23"/>
      <c r="N51" s="23"/>
      <c r="O51" s="124" t="s">
        <v>433</v>
      </c>
    </row>
    <row r="52">
      <c r="A52" s="226"/>
      <c r="C52" s="235" t="s">
        <v>31</v>
      </c>
      <c r="D52" s="8"/>
      <c r="E52" s="8"/>
      <c r="F52" s="18"/>
      <c r="G52" s="63"/>
      <c r="H52" s="63"/>
      <c r="I52" s="112"/>
      <c r="J52" s="63"/>
      <c r="K52" s="63"/>
      <c r="L52" s="112"/>
      <c r="M52" s="23"/>
      <c r="N52" s="23"/>
      <c r="O52" s="112" t="s">
        <v>434</v>
      </c>
    </row>
    <row r="53">
      <c r="A53" s="226"/>
      <c r="B53" s="110" t="s">
        <v>32</v>
      </c>
      <c r="C53" s="235" t="s">
        <v>33</v>
      </c>
      <c r="D53" s="8"/>
      <c r="E53" s="8"/>
      <c r="F53" s="59" t="s">
        <v>34</v>
      </c>
      <c r="G53" s="63"/>
      <c r="H53" s="63"/>
      <c r="I53" s="112"/>
      <c r="J53" s="63"/>
      <c r="K53" s="63"/>
      <c r="L53" s="112"/>
      <c r="M53" s="23"/>
      <c r="N53" s="23"/>
      <c r="O53" s="112" t="s">
        <v>435</v>
      </c>
    </row>
    <row r="54">
      <c r="A54" s="226"/>
      <c r="C54" s="117" t="s">
        <v>35</v>
      </c>
      <c r="D54" s="8"/>
      <c r="E54" s="8"/>
      <c r="F54" s="99" t="s">
        <v>114</v>
      </c>
      <c r="G54" s="63"/>
      <c r="H54" s="63"/>
      <c r="I54" s="112"/>
      <c r="J54" s="63"/>
      <c r="K54" s="63"/>
      <c r="L54" s="112"/>
      <c r="M54" s="23"/>
      <c r="N54" s="23"/>
      <c r="O54" s="112" t="s">
        <v>436</v>
      </c>
    </row>
    <row r="55">
      <c r="A55" s="226"/>
      <c r="C55" s="235" t="s">
        <v>38</v>
      </c>
      <c r="D55" s="8"/>
      <c r="E55" s="8"/>
      <c r="F55" s="44" t="s">
        <v>437</v>
      </c>
      <c r="G55" s="63"/>
      <c r="H55" s="63"/>
      <c r="I55" s="124"/>
      <c r="J55" s="63"/>
      <c r="K55" s="63"/>
      <c r="L55" s="124"/>
      <c r="M55" s="23"/>
      <c r="N55" s="23"/>
      <c r="O55" s="124" t="s">
        <v>438</v>
      </c>
    </row>
    <row r="56">
      <c r="A56" s="226"/>
      <c r="C56" s="235" t="s">
        <v>39</v>
      </c>
      <c r="D56" s="8"/>
      <c r="E56" s="8"/>
      <c r="F56" s="45" t="s">
        <v>40</v>
      </c>
      <c r="G56" s="63"/>
      <c r="H56" s="63"/>
      <c r="I56" s="112"/>
      <c r="J56" s="63"/>
      <c r="K56" s="63"/>
      <c r="L56" s="112"/>
      <c r="M56" s="23"/>
      <c r="N56" s="23"/>
      <c r="O56" s="112" t="s">
        <v>436</v>
      </c>
    </row>
    <row r="57">
      <c r="A57" s="226"/>
      <c r="B57" s="110" t="s">
        <v>41</v>
      </c>
      <c r="C57" s="235" t="s">
        <v>42</v>
      </c>
      <c r="D57" s="8"/>
      <c r="E57" s="8"/>
      <c r="F57" s="18"/>
      <c r="G57" s="63"/>
      <c r="H57" s="63"/>
      <c r="I57" s="112"/>
      <c r="J57" s="63"/>
      <c r="K57" s="63"/>
      <c r="L57" s="112"/>
      <c r="M57" s="23"/>
      <c r="N57" s="23"/>
      <c r="O57" s="112" t="s">
        <v>419</v>
      </c>
    </row>
    <row r="58">
      <c r="A58" s="226"/>
      <c r="B58" s="48" t="s">
        <v>45</v>
      </c>
      <c r="C58" s="235" t="s">
        <v>46</v>
      </c>
      <c r="D58" s="8"/>
      <c r="E58" s="8"/>
      <c r="F58" s="49" t="s">
        <v>48</v>
      </c>
      <c r="G58" s="63"/>
      <c r="H58" s="63"/>
      <c r="I58" s="124"/>
      <c r="J58" s="63"/>
      <c r="K58" s="63"/>
      <c r="L58" s="124"/>
      <c r="M58" s="23"/>
      <c r="N58" s="23"/>
      <c r="O58" s="124" t="s">
        <v>48</v>
      </c>
    </row>
    <row r="59">
      <c r="A59" s="226"/>
      <c r="B59" s="236" t="s">
        <v>49</v>
      </c>
      <c r="C59" s="235" t="s">
        <v>50</v>
      </c>
      <c r="D59" s="8"/>
      <c r="E59" s="8"/>
      <c r="F59" s="18"/>
      <c r="G59" s="63"/>
      <c r="H59" s="63"/>
      <c r="I59" s="112"/>
      <c r="J59" s="63"/>
      <c r="K59" s="63"/>
      <c r="L59" s="112"/>
      <c r="M59" s="23"/>
      <c r="N59" s="23"/>
      <c r="O59" s="112" t="s">
        <v>439</v>
      </c>
    </row>
    <row r="60">
      <c r="A60" s="226"/>
      <c r="B60" s="115"/>
      <c r="C60" s="235" t="s">
        <v>51</v>
      </c>
      <c r="D60" s="8"/>
      <c r="E60" s="8"/>
      <c r="F60" s="49" t="s">
        <v>52</v>
      </c>
      <c r="G60" s="63"/>
      <c r="H60" s="63"/>
      <c r="I60" s="237"/>
      <c r="J60" s="63"/>
      <c r="K60" s="63"/>
      <c r="L60" s="237"/>
      <c r="M60" s="23"/>
      <c r="N60" s="23"/>
      <c r="O60" s="237" t="s">
        <v>24</v>
      </c>
    </row>
    <row r="61">
      <c r="A61" s="226"/>
      <c r="B61" s="115"/>
      <c r="C61" s="235" t="s">
        <v>53</v>
      </c>
      <c r="D61" s="8"/>
      <c r="E61" s="8"/>
      <c r="F61" s="18"/>
      <c r="G61" s="63"/>
      <c r="H61" s="63"/>
      <c r="I61" s="237"/>
      <c r="J61" s="63"/>
      <c r="K61" s="63"/>
      <c r="L61" s="237"/>
      <c r="M61" s="23"/>
      <c r="N61" s="23"/>
      <c r="O61" s="237" t="s">
        <v>24</v>
      </c>
    </row>
    <row r="62">
      <c r="A62" s="226"/>
      <c r="B62" s="115"/>
      <c r="C62" s="235" t="s">
        <v>54</v>
      </c>
      <c r="D62" s="8"/>
      <c r="E62" s="8"/>
      <c r="F62" s="18"/>
      <c r="G62" s="63"/>
      <c r="H62" s="63"/>
      <c r="I62" s="28"/>
      <c r="J62" s="63"/>
      <c r="K62" s="63"/>
      <c r="L62" s="28"/>
      <c r="M62" s="23"/>
      <c r="N62" s="23"/>
      <c r="O62" s="15" t="s">
        <v>24</v>
      </c>
    </row>
    <row r="63">
      <c r="A63" s="226"/>
      <c r="B63" s="238" t="s">
        <v>55</v>
      </c>
      <c r="C63" s="235" t="s">
        <v>139</v>
      </c>
      <c r="D63" s="8"/>
      <c r="E63" s="8"/>
      <c r="F63" s="18"/>
      <c r="G63" s="63"/>
      <c r="H63" s="63"/>
      <c r="I63" s="28"/>
      <c r="J63" s="63"/>
      <c r="K63" s="63"/>
      <c r="L63" s="28"/>
      <c r="M63" s="23"/>
      <c r="N63" s="23"/>
      <c r="O63" s="15" t="s">
        <v>24</v>
      </c>
    </row>
    <row r="64">
      <c r="A64" s="226"/>
      <c r="C64" s="235" t="s">
        <v>140</v>
      </c>
      <c r="D64" s="8"/>
      <c r="E64" s="8"/>
      <c r="F64" s="18"/>
      <c r="G64" s="63"/>
      <c r="H64" s="63"/>
      <c r="I64" s="28"/>
      <c r="J64" s="63"/>
      <c r="K64" s="63"/>
      <c r="L64" s="28"/>
      <c r="M64" s="23"/>
      <c r="N64" s="23"/>
      <c r="O64" s="15" t="s">
        <v>24</v>
      </c>
    </row>
    <row r="65">
      <c r="A65" s="226"/>
      <c r="C65" s="239" t="s">
        <v>141</v>
      </c>
      <c r="D65" s="8"/>
      <c r="E65" s="8"/>
      <c r="F65" s="18"/>
      <c r="G65" s="63"/>
      <c r="H65" s="63"/>
      <c r="I65" s="112"/>
      <c r="J65" s="63"/>
      <c r="K65" s="63"/>
      <c r="L65" s="112"/>
      <c r="M65" s="23"/>
      <c r="N65" s="23"/>
      <c r="O65" s="112" t="s">
        <v>440</v>
      </c>
    </row>
    <row r="66">
      <c r="A66" s="226"/>
      <c r="B66" s="48" t="s">
        <v>60</v>
      </c>
      <c r="C66" s="235" t="s">
        <v>61</v>
      </c>
      <c r="D66" s="8"/>
      <c r="E66" s="8"/>
      <c r="F66" s="18"/>
      <c r="G66" s="63"/>
      <c r="H66" s="63"/>
      <c r="I66" s="63"/>
      <c r="J66" s="63"/>
      <c r="K66" s="63"/>
      <c r="L66" s="63"/>
      <c r="M66" s="23"/>
      <c r="N66" s="23"/>
      <c r="O66" s="23"/>
    </row>
    <row r="67">
      <c r="A67" s="226"/>
      <c r="B67" s="8"/>
      <c r="C67" s="235" t="s">
        <v>142</v>
      </c>
      <c r="D67" s="8"/>
      <c r="E67" s="8"/>
      <c r="F67" s="18"/>
      <c r="G67" s="63"/>
      <c r="H67" s="63"/>
      <c r="I67" s="63"/>
      <c r="J67" s="63"/>
      <c r="K67" s="63"/>
      <c r="L67" s="63"/>
      <c r="M67" s="23"/>
      <c r="N67" s="23"/>
      <c r="O67" s="23"/>
    </row>
    <row r="68">
      <c r="A68" s="226"/>
      <c r="B68" s="48" t="s">
        <v>63</v>
      </c>
      <c r="C68" s="235" t="s">
        <v>64</v>
      </c>
      <c r="D68" s="8"/>
      <c r="E68" s="8"/>
      <c r="F68" s="49" t="s">
        <v>65</v>
      </c>
      <c r="G68" s="63"/>
      <c r="H68" s="63"/>
      <c r="I68" s="112"/>
      <c r="J68" s="63"/>
      <c r="K68" s="63"/>
      <c r="L68" s="112"/>
      <c r="M68" s="23"/>
      <c r="N68" s="23"/>
      <c r="O68" s="112" t="s">
        <v>441</v>
      </c>
    </row>
    <row r="69">
      <c r="A69" s="226"/>
      <c r="B69" s="8"/>
      <c r="C69" s="235"/>
      <c r="D69" s="8"/>
      <c r="E69" s="8"/>
      <c r="F69" s="18"/>
      <c r="G69" s="63"/>
      <c r="H69" s="63"/>
      <c r="I69" s="63"/>
      <c r="J69" s="63"/>
      <c r="K69" s="63"/>
      <c r="L69" s="63"/>
      <c r="M69" s="23"/>
      <c r="N69" s="23"/>
      <c r="O69" s="23"/>
    </row>
    <row r="70">
      <c r="A70" s="229" t="s">
        <v>313</v>
      </c>
      <c r="B70" s="8"/>
      <c r="C70" s="240"/>
      <c r="D70" s="8"/>
      <c r="E70" s="8"/>
      <c r="F70" s="18"/>
      <c r="G70" s="63"/>
      <c r="H70" s="63"/>
      <c r="I70" s="63"/>
      <c r="J70" s="63"/>
      <c r="K70" s="63"/>
      <c r="L70" s="63"/>
      <c r="M70" s="23"/>
      <c r="N70" s="23"/>
      <c r="O70" s="23"/>
    </row>
    <row r="71">
      <c r="A71" s="226"/>
      <c r="B71" s="8"/>
      <c r="C71" s="240"/>
      <c r="D71" s="8"/>
      <c r="E71" s="8"/>
      <c r="F71" s="18"/>
      <c r="G71" s="63"/>
      <c r="H71" s="63"/>
      <c r="I71" s="63"/>
      <c r="J71" s="63"/>
      <c r="K71" s="63"/>
      <c r="L71" s="63"/>
      <c r="M71" s="23"/>
      <c r="N71" s="23"/>
      <c r="O71" s="23"/>
    </row>
    <row r="72">
      <c r="A72" s="226"/>
      <c r="B72" s="8"/>
      <c r="C72" s="240"/>
      <c r="D72" s="8"/>
      <c r="E72" s="8"/>
      <c r="F72" s="18"/>
      <c r="G72" s="63"/>
      <c r="H72" s="63"/>
      <c r="I72" s="63"/>
      <c r="J72" s="63"/>
      <c r="K72" s="63"/>
      <c r="L72" s="63"/>
      <c r="M72" s="23"/>
      <c r="N72" s="23"/>
      <c r="O72" s="23"/>
    </row>
    <row r="73">
      <c r="A73" s="226"/>
      <c r="B73" s="8"/>
      <c r="C73" s="240"/>
      <c r="D73" s="8"/>
      <c r="E73" s="8"/>
      <c r="F73" s="18"/>
      <c r="G73" s="63"/>
      <c r="H73" s="63"/>
      <c r="I73" s="63"/>
      <c r="J73" s="63"/>
      <c r="K73" s="63"/>
      <c r="L73" s="63"/>
      <c r="M73" s="23"/>
      <c r="N73" s="23"/>
      <c r="O73" s="23"/>
    </row>
    <row r="74">
      <c r="A74" s="226"/>
      <c r="B74" s="8"/>
      <c r="C74" s="240"/>
      <c r="D74" s="8"/>
      <c r="E74" s="8"/>
      <c r="F74" s="18"/>
      <c r="G74" s="63"/>
      <c r="H74" s="63"/>
      <c r="I74" s="63"/>
      <c r="J74" s="63"/>
      <c r="K74" s="63"/>
      <c r="L74" s="63"/>
      <c r="M74" s="23"/>
      <c r="N74" s="23"/>
      <c r="O74" s="23"/>
    </row>
    <row r="75">
      <c r="A75" s="226"/>
      <c r="B75" s="8"/>
      <c r="C75" s="240"/>
      <c r="D75" s="8"/>
      <c r="E75" s="8"/>
      <c r="F75" s="18"/>
      <c r="G75" s="63"/>
      <c r="H75" s="63"/>
      <c r="I75" s="63"/>
      <c r="J75" s="63"/>
      <c r="K75" s="63"/>
      <c r="L75" s="63"/>
      <c r="M75" s="23"/>
      <c r="N75" s="23"/>
      <c r="O75" s="23"/>
    </row>
    <row r="76">
      <c r="A76" s="226"/>
      <c r="B76" s="8"/>
      <c r="C76" s="240"/>
      <c r="D76" s="8"/>
      <c r="E76" s="8"/>
      <c r="F76" s="18"/>
      <c r="G76" s="63"/>
      <c r="H76" s="63"/>
      <c r="I76" s="63"/>
      <c r="J76" s="63"/>
      <c r="K76" s="63"/>
      <c r="L76" s="63"/>
      <c r="M76" s="23"/>
      <c r="N76" s="23"/>
      <c r="O76" s="23"/>
    </row>
    <row r="77">
      <c r="A77" s="226"/>
      <c r="B77" s="8"/>
      <c r="C77" s="240"/>
      <c r="D77" s="8"/>
      <c r="E77" s="8"/>
      <c r="F77" s="18"/>
      <c r="G77" s="63"/>
      <c r="H77" s="63"/>
      <c r="I77" s="63"/>
      <c r="J77" s="63"/>
      <c r="K77" s="63"/>
      <c r="L77" s="63"/>
      <c r="M77" s="23"/>
      <c r="N77" s="23"/>
      <c r="O77" s="23"/>
    </row>
    <row r="78">
      <c r="A78" s="226"/>
      <c r="B78" s="8"/>
      <c r="C78" s="240"/>
      <c r="D78" s="8"/>
      <c r="E78" s="8"/>
      <c r="F78" s="18"/>
      <c r="G78" s="63"/>
      <c r="H78" s="63"/>
      <c r="I78" s="63"/>
      <c r="J78" s="63"/>
      <c r="K78" s="63"/>
      <c r="L78" s="63"/>
      <c r="M78" s="23"/>
      <c r="N78" s="23"/>
      <c r="O78" s="23"/>
    </row>
    <row r="79">
      <c r="A79" s="226"/>
      <c r="B79" s="8"/>
      <c r="C79" s="240"/>
      <c r="D79" s="8"/>
      <c r="E79" s="8"/>
      <c r="F79" s="18"/>
      <c r="G79" s="63"/>
      <c r="H79" s="63"/>
      <c r="I79" s="63"/>
      <c r="J79" s="63"/>
      <c r="K79" s="63"/>
      <c r="L79" s="63"/>
      <c r="M79" s="23"/>
      <c r="N79" s="23"/>
      <c r="O79" s="23"/>
    </row>
    <row r="80">
      <c r="A80" s="226"/>
      <c r="B80" s="8"/>
      <c r="C80" s="240"/>
      <c r="D80" s="8"/>
      <c r="E80" s="8"/>
      <c r="F80" s="18"/>
      <c r="G80" s="63"/>
      <c r="H80" s="63"/>
      <c r="I80" s="63"/>
      <c r="J80" s="63"/>
      <c r="K80" s="63"/>
      <c r="L80" s="63"/>
      <c r="M80" s="23"/>
      <c r="N80" s="23"/>
      <c r="O80" s="23"/>
    </row>
    <row r="81">
      <c r="A81" s="226"/>
      <c r="B81" s="8"/>
      <c r="C81" s="240"/>
      <c r="D81" s="8"/>
      <c r="E81" s="8"/>
      <c r="F81" s="18"/>
      <c r="G81" s="63"/>
      <c r="H81" s="63"/>
      <c r="I81" s="63"/>
      <c r="J81" s="63"/>
      <c r="K81" s="63"/>
      <c r="L81" s="63"/>
      <c r="M81" s="23"/>
      <c r="N81" s="23"/>
      <c r="O81" s="23"/>
    </row>
    <row r="82">
      <c r="A82" s="226"/>
      <c r="B82" s="8"/>
      <c r="C82" s="240"/>
      <c r="D82" s="8"/>
      <c r="E82" s="8"/>
      <c r="F82" s="18"/>
      <c r="G82" s="63"/>
      <c r="H82" s="63"/>
      <c r="I82" s="63"/>
      <c r="J82" s="63"/>
      <c r="K82" s="63"/>
      <c r="L82" s="63"/>
      <c r="M82" s="23"/>
      <c r="N82" s="23"/>
      <c r="O82" s="23"/>
    </row>
    <row r="83">
      <c r="A83" s="229" t="s">
        <v>329</v>
      </c>
      <c r="B83" s="8"/>
      <c r="C83" s="240"/>
      <c r="D83" s="8"/>
      <c r="E83" s="8"/>
      <c r="F83" s="18"/>
      <c r="G83" s="63"/>
      <c r="H83" s="63"/>
      <c r="I83" s="63"/>
      <c r="J83" s="63"/>
      <c r="K83" s="63"/>
      <c r="L83" s="63"/>
      <c r="M83" s="23"/>
      <c r="N83" s="23"/>
      <c r="O83" s="23"/>
    </row>
    <row r="84">
      <c r="A84" s="226"/>
      <c r="B84" s="8"/>
      <c r="C84" s="240"/>
      <c r="D84" s="8"/>
      <c r="E84" s="8"/>
      <c r="F84" s="18"/>
      <c r="G84" s="63"/>
      <c r="H84" s="63"/>
      <c r="I84" s="63"/>
      <c r="J84" s="63"/>
      <c r="K84" s="63"/>
      <c r="L84" s="63"/>
      <c r="M84" s="23"/>
      <c r="N84" s="23"/>
      <c r="O84" s="23"/>
    </row>
    <row r="85">
      <c r="A85" s="226"/>
      <c r="B85" s="8"/>
      <c r="C85" s="240"/>
      <c r="D85" s="8"/>
      <c r="E85" s="8"/>
      <c r="F85" s="18"/>
      <c r="G85" s="63"/>
      <c r="H85" s="63"/>
      <c r="I85" s="63"/>
      <c r="J85" s="63"/>
      <c r="K85" s="63"/>
      <c r="L85" s="63"/>
      <c r="M85" s="23"/>
      <c r="N85" s="23"/>
      <c r="O85" s="23"/>
    </row>
    <row r="86">
      <c r="A86" s="226"/>
      <c r="B86" s="8"/>
      <c r="C86" s="240"/>
      <c r="D86" s="8"/>
      <c r="E86" s="8"/>
      <c r="F86" s="18"/>
      <c r="G86" s="63"/>
      <c r="H86" s="63"/>
      <c r="I86" s="63"/>
      <c r="J86" s="63"/>
      <c r="K86" s="63"/>
      <c r="L86" s="63"/>
      <c r="M86" s="23"/>
      <c r="N86" s="23"/>
      <c r="O86" s="23"/>
    </row>
    <row r="87">
      <c r="A87" s="226"/>
      <c r="B87" s="8"/>
      <c r="C87" s="240"/>
      <c r="D87" s="8"/>
      <c r="E87" s="8"/>
      <c r="F87" s="18"/>
      <c r="G87" s="63"/>
      <c r="H87" s="63"/>
      <c r="I87" s="63"/>
      <c r="J87" s="63"/>
      <c r="K87" s="63"/>
      <c r="L87" s="63"/>
      <c r="M87" s="23"/>
      <c r="N87" s="23"/>
      <c r="O87" s="23"/>
    </row>
    <row r="88">
      <c r="A88" s="226"/>
      <c r="B88" s="8"/>
      <c r="C88" s="240"/>
      <c r="D88" s="8"/>
      <c r="E88" s="8"/>
      <c r="F88" s="18"/>
      <c r="G88" s="63"/>
      <c r="H88" s="63"/>
      <c r="I88" s="63"/>
      <c r="J88" s="63"/>
      <c r="K88" s="63"/>
      <c r="L88" s="63"/>
      <c r="M88" s="23"/>
      <c r="N88" s="23"/>
      <c r="O88" s="23"/>
    </row>
    <row r="89">
      <c r="A89" s="226"/>
      <c r="B89" s="8"/>
      <c r="C89" s="241"/>
      <c r="D89" s="8"/>
      <c r="E89" s="8"/>
      <c r="F89" s="18"/>
      <c r="G89" s="63"/>
      <c r="H89" s="63"/>
      <c r="I89" s="63"/>
      <c r="J89" s="63"/>
      <c r="K89" s="63"/>
      <c r="L89" s="63"/>
      <c r="M89" s="23"/>
      <c r="N89" s="23"/>
      <c r="O89" s="23"/>
    </row>
    <row r="90">
      <c r="A90" s="226"/>
      <c r="B90" s="8"/>
      <c r="C90" s="241"/>
      <c r="D90" s="8"/>
      <c r="E90" s="8"/>
      <c r="F90" s="18"/>
      <c r="G90" s="63"/>
      <c r="H90" s="63"/>
      <c r="I90" s="63"/>
      <c r="J90" s="63"/>
      <c r="K90" s="63"/>
      <c r="L90" s="63"/>
      <c r="M90" s="23"/>
      <c r="N90" s="23"/>
      <c r="O90" s="23"/>
    </row>
    <row r="91">
      <c r="A91" s="226"/>
      <c r="B91" s="8"/>
      <c r="C91" s="241"/>
      <c r="D91" s="8"/>
      <c r="E91" s="8"/>
      <c r="F91" s="18"/>
      <c r="G91" s="63"/>
      <c r="H91" s="63"/>
      <c r="I91" s="63"/>
      <c r="J91" s="63"/>
      <c r="K91" s="63"/>
      <c r="L91" s="63"/>
      <c r="M91" s="23"/>
      <c r="N91" s="23"/>
      <c r="O91" s="23"/>
    </row>
    <row r="92">
      <c r="A92" s="226"/>
      <c r="B92" s="8"/>
      <c r="C92" s="241"/>
      <c r="D92" s="8"/>
      <c r="E92" s="8"/>
      <c r="F92" s="18"/>
      <c r="G92" s="63"/>
      <c r="H92" s="63"/>
      <c r="I92" s="63"/>
      <c r="J92" s="63"/>
      <c r="K92" s="63"/>
      <c r="L92" s="63"/>
      <c r="M92" s="23"/>
      <c r="N92" s="23"/>
      <c r="O92" s="23"/>
    </row>
    <row r="93">
      <c r="A93" s="226"/>
      <c r="B93" s="8"/>
      <c r="C93" s="241"/>
      <c r="D93" s="8"/>
      <c r="E93" s="8"/>
      <c r="F93" s="18"/>
      <c r="G93" s="63"/>
      <c r="H93" s="63"/>
      <c r="I93" s="63"/>
      <c r="J93" s="63"/>
      <c r="K93" s="63"/>
      <c r="L93" s="63"/>
      <c r="M93" s="23"/>
      <c r="N93" s="23"/>
      <c r="O93" s="23"/>
    </row>
    <row r="94">
      <c r="A94" s="226"/>
      <c r="B94" s="8"/>
      <c r="C94" s="241"/>
      <c r="D94" s="8"/>
      <c r="E94" s="8"/>
      <c r="F94" s="18"/>
      <c r="G94" s="63"/>
      <c r="H94" s="63"/>
      <c r="I94" s="63"/>
      <c r="J94" s="63"/>
      <c r="K94" s="63"/>
      <c r="L94" s="63"/>
      <c r="M94" s="23"/>
      <c r="N94" s="23"/>
      <c r="O94" s="23"/>
    </row>
    <row r="95">
      <c r="A95" s="229" t="s">
        <v>395</v>
      </c>
      <c r="C95" s="242" t="s">
        <v>400</v>
      </c>
      <c r="D95" s="8"/>
      <c r="E95" s="8"/>
      <c r="F95" s="18"/>
      <c r="G95" s="63"/>
      <c r="H95" s="63"/>
      <c r="I95" s="101"/>
      <c r="J95" s="63"/>
      <c r="K95" s="63"/>
      <c r="L95" s="101"/>
      <c r="M95" s="23"/>
      <c r="N95" s="23"/>
      <c r="O95" s="243" t="s">
        <v>442</v>
      </c>
    </row>
    <row r="96">
      <c r="A96" s="226"/>
      <c r="C96" s="242" t="s">
        <v>401</v>
      </c>
      <c r="D96" s="8"/>
      <c r="E96" s="8"/>
      <c r="F96" s="18"/>
      <c r="G96" s="63"/>
      <c r="H96" s="63"/>
      <c r="I96" s="101"/>
      <c r="J96" s="63"/>
      <c r="K96" s="63"/>
      <c r="L96" s="101"/>
      <c r="M96" s="23"/>
      <c r="N96" s="23"/>
      <c r="O96" s="243" t="s">
        <v>442</v>
      </c>
    </row>
    <row r="97">
      <c r="A97" s="226"/>
      <c r="C97" s="242" t="s">
        <v>402</v>
      </c>
      <c r="D97" s="8"/>
      <c r="E97" s="8"/>
      <c r="F97" s="18"/>
      <c r="G97" s="63"/>
      <c r="H97" s="63"/>
      <c r="I97" s="63"/>
      <c r="J97" s="63"/>
      <c r="K97" s="63"/>
      <c r="L97" s="63"/>
      <c r="M97" s="23"/>
      <c r="N97" s="23"/>
      <c r="O97" s="23"/>
    </row>
    <row r="98">
      <c r="A98" s="226"/>
      <c r="B98" s="8"/>
      <c r="C98" s="241"/>
      <c r="D98" s="8"/>
      <c r="E98" s="8"/>
      <c r="F98" s="18"/>
      <c r="G98" s="63"/>
      <c r="H98" s="63"/>
      <c r="I98" s="63"/>
      <c r="J98" s="63"/>
      <c r="K98" s="63"/>
      <c r="L98" s="63"/>
      <c r="M98" s="23"/>
      <c r="N98" s="23"/>
      <c r="O98" s="23"/>
    </row>
    <row r="99">
      <c r="A99" s="226"/>
      <c r="B99" s="8"/>
      <c r="C99" s="241"/>
      <c r="D99" s="8"/>
      <c r="E99" s="8"/>
      <c r="F99" s="18"/>
      <c r="G99" s="63"/>
      <c r="H99" s="63"/>
      <c r="I99" s="63"/>
      <c r="J99" s="63"/>
      <c r="K99" s="63"/>
      <c r="L99" s="63"/>
      <c r="M99" s="23"/>
      <c r="N99" s="23"/>
      <c r="O99" s="23"/>
    </row>
    <row r="100">
      <c r="A100" s="226"/>
      <c r="B100" s="8"/>
      <c r="C100" s="241"/>
      <c r="D100" s="8"/>
      <c r="E100" s="8"/>
      <c r="F100" s="18"/>
      <c r="G100" s="63"/>
      <c r="H100" s="63"/>
      <c r="I100" s="63"/>
      <c r="J100" s="63"/>
      <c r="K100" s="63"/>
      <c r="L100" s="63"/>
      <c r="M100" s="23"/>
      <c r="N100" s="23"/>
      <c r="O100" s="23"/>
    </row>
    <row r="101">
      <c r="A101" s="226"/>
      <c r="B101" s="8"/>
      <c r="C101" s="241"/>
      <c r="D101" s="8"/>
      <c r="E101" s="8"/>
      <c r="F101" s="18"/>
      <c r="G101" s="63"/>
      <c r="H101" s="63"/>
      <c r="I101" s="63"/>
      <c r="J101" s="63"/>
      <c r="K101" s="63"/>
      <c r="L101" s="63"/>
      <c r="M101" s="23"/>
      <c r="N101" s="23"/>
      <c r="O101" s="23"/>
    </row>
    <row r="102">
      <c r="A102" s="226"/>
      <c r="B102" s="8"/>
      <c r="C102" s="241"/>
      <c r="D102" s="8"/>
      <c r="E102" s="8"/>
      <c r="F102" s="18"/>
      <c r="G102" s="63"/>
      <c r="H102" s="63"/>
      <c r="I102" s="63"/>
      <c r="J102" s="63"/>
      <c r="K102" s="63"/>
      <c r="L102" s="63"/>
      <c r="M102" s="23"/>
      <c r="N102" s="23"/>
      <c r="O102" s="23"/>
    </row>
    <row r="103">
      <c r="A103" s="226"/>
      <c r="B103" s="8"/>
      <c r="C103" s="241"/>
      <c r="D103" s="8"/>
      <c r="E103" s="8"/>
      <c r="F103" s="18"/>
      <c r="G103" s="63"/>
      <c r="H103" s="63"/>
      <c r="I103" s="63"/>
      <c r="J103" s="63"/>
      <c r="K103" s="63"/>
      <c r="L103" s="63"/>
      <c r="M103" s="23"/>
      <c r="N103" s="23"/>
      <c r="O103" s="23"/>
    </row>
    <row r="104">
      <c r="A104" s="226"/>
      <c r="B104" s="8"/>
      <c r="C104" s="241"/>
      <c r="D104" s="8"/>
      <c r="E104" s="8"/>
      <c r="F104" s="18"/>
      <c r="G104" s="63"/>
      <c r="H104" s="63"/>
      <c r="I104" s="63"/>
      <c r="J104" s="63"/>
      <c r="K104" s="63"/>
      <c r="L104" s="63"/>
      <c r="M104" s="23"/>
      <c r="N104" s="23"/>
      <c r="O104" s="23"/>
    </row>
    <row r="105">
      <c r="A105" s="226"/>
      <c r="B105" s="8"/>
      <c r="C105" s="241"/>
      <c r="D105" s="8"/>
      <c r="E105" s="8"/>
      <c r="F105" s="18"/>
      <c r="G105" s="63"/>
      <c r="H105" s="63"/>
      <c r="I105" s="63"/>
      <c r="J105" s="63"/>
      <c r="K105" s="63"/>
      <c r="L105" s="63"/>
      <c r="M105" s="23"/>
      <c r="N105" s="23"/>
      <c r="O105" s="23"/>
    </row>
    <row r="106">
      <c r="A106" s="226"/>
      <c r="B106" s="8"/>
      <c r="C106" s="241"/>
      <c r="D106" s="8"/>
      <c r="E106" s="8"/>
      <c r="F106" s="18"/>
      <c r="G106" s="63"/>
      <c r="H106" s="63"/>
      <c r="I106" s="63"/>
      <c r="J106" s="63"/>
      <c r="K106" s="63"/>
      <c r="L106" s="63"/>
      <c r="M106" s="23"/>
      <c r="N106" s="23"/>
      <c r="O106" s="23"/>
    </row>
    <row r="107">
      <c r="A107" s="226"/>
      <c r="B107" s="8"/>
      <c r="C107" s="241"/>
      <c r="D107" s="8"/>
      <c r="E107" s="8"/>
      <c r="F107" s="18"/>
      <c r="G107" s="63"/>
      <c r="H107" s="63"/>
      <c r="I107" s="63"/>
      <c r="J107" s="63"/>
      <c r="K107" s="63"/>
      <c r="L107" s="63"/>
      <c r="M107" s="23"/>
      <c r="N107" s="23"/>
      <c r="O107" s="23"/>
    </row>
    <row r="108">
      <c r="A108" s="226"/>
      <c r="B108" s="8"/>
      <c r="C108" s="241"/>
      <c r="D108" s="8"/>
      <c r="E108" s="8"/>
      <c r="F108" s="18"/>
      <c r="G108" s="63"/>
      <c r="H108" s="63"/>
      <c r="I108" s="63"/>
      <c r="J108" s="63"/>
      <c r="K108" s="63"/>
      <c r="L108" s="63"/>
      <c r="M108" s="23"/>
      <c r="N108" s="23"/>
      <c r="O108" s="23"/>
    </row>
    <row r="109">
      <c r="A109" s="229" t="s">
        <v>362</v>
      </c>
      <c r="C109" s="244" t="s">
        <v>443</v>
      </c>
      <c r="D109" s="8"/>
      <c r="E109" s="8"/>
      <c r="F109" s="18"/>
      <c r="G109" s="63"/>
      <c r="H109" s="63"/>
      <c r="I109" s="63"/>
      <c r="J109" s="63"/>
      <c r="K109" s="63"/>
      <c r="L109" s="63"/>
      <c r="M109" s="23"/>
      <c r="N109" s="23"/>
      <c r="O109" s="23"/>
    </row>
    <row r="110">
      <c r="A110" s="226"/>
      <c r="C110" s="244" t="s">
        <v>444</v>
      </c>
      <c r="D110" s="8"/>
      <c r="E110" s="8"/>
      <c r="F110" s="18"/>
      <c r="G110" s="63"/>
      <c r="H110" s="63"/>
      <c r="I110" s="63"/>
      <c r="J110" s="63"/>
      <c r="K110" s="63"/>
      <c r="L110" s="63"/>
      <c r="M110" s="23"/>
      <c r="N110" s="23"/>
      <c r="O110" s="23"/>
    </row>
    <row r="111">
      <c r="A111" s="226"/>
      <c r="C111" s="244" t="s">
        <v>445</v>
      </c>
      <c r="D111" s="8"/>
      <c r="E111" s="8"/>
      <c r="F111" s="18"/>
      <c r="G111" s="63"/>
      <c r="H111" s="63"/>
      <c r="I111" s="63"/>
      <c r="J111" s="63"/>
      <c r="K111" s="63"/>
      <c r="L111" s="63"/>
      <c r="M111" s="23"/>
      <c r="N111" s="23"/>
      <c r="O111" s="23"/>
    </row>
    <row r="112">
      <c r="A112" s="226"/>
      <c r="B112" s="8"/>
      <c r="C112" s="241"/>
      <c r="D112" s="8"/>
      <c r="E112" s="8"/>
      <c r="F112" s="18"/>
      <c r="G112" s="63"/>
      <c r="H112" s="63"/>
      <c r="I112" s="63"/>
      <c r="J112" s="63"/>
      <c r="K112" s="63"/>
      <c r="L112" s="63"/>
      <c r="M112" s="23"/>
      <c r="N112" s="23"/>
      <c r="O112" s="23"/>
    </row>
    <row r="113">
      <c r="A113" s="226"/>
      <c r="B113" s="8"/>
      <c r="C113" s="241"/>
      <c r="D113" s="8"/>
      <c r="E113" s="8"/>
      <c r="F113" s="18"/>
      <c r="G113" s="63"/>
      <c r="H113" s="63"/>
      <c r="I113" s="63"/>
      <c r="J113" s="63"/>
      <c r="K113" s="63"/>
      <c r="L113" s="63"/>
      <c r="M113" s="23"/>
      <c r="N113" s="23"/>
      <c r="O113" s="23"/>
    </row>
    <row r="114">
      <c r="A114" s="226"/>
      <c r="B114" s="8"/>
      <c r="C114" s="241"/>
      <c r="D114" s="8"/>
      <c r="E114" s="8"/>
      <c r="F114" s="18"/>
      <c r="G114" s="63"/>
      <c r="H114" s="63"/>
      <c r="I114" s="63"/>
      <c r="J114" s="63"/>
      <c r="K114" s="63"/>
      <c r="L114" s="63"/>
      <c r="M114" s="23"/>
      <c r="N114" s="23"/>
      <c r="O114" s="23"/>
    </row>
    <row r="115">
      <c r="A115" s="226"/>
      <c r="B115" s="8"/>
      <c r="C115" s="241"/>
      <c r="D115" s="8"/>
      <c r="E115" s="8"/>
      <c r="F115" s="18"/>
      <c r="G115" s="63"/>
      <c r="H115" s="63"/>
      <c r="I115" s="63"/>
      <c r="J115" s="63"/>
      <c r="K115" s="63"/>
      <c r="L115" s="63"/>
      <c r="M115" s="23"/>
      <c r="N115" s="23"/>
      <c r="O115" s="23"/>
    </row>
    <row r="116">
      <c r="A116" s="226"/>
      <c r="B116" s="8"/>
      <c r="C116" s="241"/>
      <c r="D116" s="8"/>
      <c r="E116" s="8"/>
      <c r="F116" s="18"/>
      <c r="G116" s="63"/>
      <c r="H116" s="63"/>
      <c r="I116" s="63"/>
      <c r="J116" s="63"/>
      <c r="K116" s="63"/>
      <c r="L116" s="63"/>
      <c r="M116" s="23"/>
      <c r="N116" s="23"/>
      <c r="O116" s="23"/>
    </row>
    <row r="117">
      <c r="A117" s="226"/>
      <c r="B117" s="8"/>
      <c r="C117" s="241"/>
      <c r="D117" s="8"/>
      <c r="E117" s="8"/>
      <c r="F117" s="18"/>
      <c r="G117" s="63"/>
      <c r="H117" s="63"/>
      <c r="I117" s="63"/>
      <c r="J117" s="63"/>
      <c r="K117" s="63"/>
      <c r="L117" s="63"/>
      <c r="M117" s="23"/>
      <c r="N117" s="23"/>
      <c r="O117" s="23"/>
    </row>
    <row r="118">
      <c r="A118" s="226"/>
      <c r="B118" s="8"/>
      <c r="C118" s="241"/>
      <c r="D118" s="8"/>
      <c r="E118" s="8"/>
      <c r="F118" s="18"/>
      <c r="G118" s="63"/>
      <c r="H118" s="63"/>
      <c r="I118" s="63"/>
      <c r="J118" s="63"/>
      <c r="K118" s="63"/>
      <c r="L118" s="63"/>
      <c r="M118" s="23"/>
      <c r="N118" s="23"/>
      <c r="O118" s="23"/>
    </row>
    <row r="119">
      <c r="A119" s="226"/>
      <c r="B119" s="8"/>
      <c r="C119" s="241"/>
      <c r="D119" s="8"/>
      <c r="E119" s="8"/>
      <c r="F119" s="18"/>
      <c r="G119" s="63"/>
      <c r="H119" s="63"/>
      <c r="I119" s="63"/>
      <c r="J119" s="63"/>
      <c r="K119" s="63"/>
      <c r="L119" s="63"/>
      <c r="M119" s="23"/>
      <c r="N119" s="23"/>
      <c r="O119" s="23"/>
    </row>
    <row r="120">
      <c r="A120" s="226"/>
      <c r="B120" s="8"/>
      <c r="C120" s="241"/>
      <c r="D120" s="8"/>
      <c r="E120" s="8"/>
      <c r="F120" s="18"/>
      <c r="G120" s="63"/>
      <c r="H120" s="63"/>
      <c r="I120" s="63"/>
      <c r="J120" s="63"/>
      <c r="K120" s="63"/>
      <c r="L120" s="63"/>
      <c r="M120" s="23"/>
      <c r="N120" s="23"/>
      <c r="O120" s="23"/>
    </row>
    <row r="121">
      <c r="A121" s="226"/>
      <c r="B121" s="8"/>
      <c r="C121" s="241"/>
      <c r="D121" s="8"/>
      <c r="E121" s="8"/>
      <c r="F121" s="18"/>
      <c r="G121" s="63"/>
      <c r="H121" s="63"/>
      <c r="I121" s="63"/>
      <c r="J121" s="63"/>
      <c r="K121" s="63"/>
      <c r="L121" s="63"/>
      <c r="M121" s="23"/>
      <c r="N121" s="23"/>
      <c r="O121" s="23"/>
    </row>
    <row r="122">
      <c r="A122" s="226"/>
      <c r="B122" s="8"/>
      <c r="C122" s="241"/>
      <c r="D122" s="8"/>
      <c r="E122" s="8"/>
      <c r="F122" s="18"/>
      <c r="G122" s="63"/>
      <c r="H122" s="63"/>
      <c r="I122" s="63"/>
      <c r="J122" s="63"/>
      <c r="K122" s="63"/>
      <c r="L122" s="63"/>
      <c r="M122" s="23"/>
      <c r="N122" s="23"/>
      <c r="O122" s="23"/>
    </row>
    <row r="123">
      <c r="A123" s="226"/>
      <c r="B123" s="8"/>
      <c r="C123" s="241"/>
      <c r="D123" s="8"/>
      <c r="E123" s="8"/>
      <c r="F123" s="18"/>
      <c r="G123" s="63"/>
      <c r="H123" s="63"/>
      <c r="I123" s="63"/>
      <c r="J123" s="63"/>
      <c r="K123" s="63"/>
      <c r="L123" s="63"/>
      <c r="M123" s="23"/>
      <c r="N123" s="23"/>
      <c r="O123" s="23"/>
    </row>
    <row r="124">
      <c r="A124" s="226"/>
      <c r="B124" s="8"/>
      <c r="C124" s="241"/>
      <c r="D124" s="8"/>
      <c r="E124" s="8"/>
      <c r="F124" s="18"/>
      <c r="G124" s="63"/>
      <c r="H124" s="63"/>
      <c r="I124" s="63"/>
      <c r="J124" s="63"/>
      <c r="K124" s="63"/>
      <c r="L124" s="63"/>
      <c r="M124" s="23"/>
      <c r="N124" s="23"/>
      <c r="O124" s="23"/>
    </row>
    <row r="125">
      <c r="A125" s="226"/>
      <c r="B125" s="8"/>
      <c r="C125" s="241"/>
      <c r="D125" s="8"/>
      <c r="E125" s="8"/>
      <c r="F125" s="18"/>
      <c r="G125" s="63"/>
      <c r="H125" s="63"/>
      <c r="I125" s="63"/>
      <c r="J125" s="63"/>
      <c r="K125" s="63"/>
      <c r="L125" s="63"/>
      <c r="M125" s="23"/>
      <c r="N125" s="23"/>
      <c r="O125" s="23"/>
    </row>
    <row r="126">
      <c r="A126" s="245" t="s">
        <v>446</v>
      </c>
      <c r="B126" s="8"/>
      <c r="C126" s="143" t="s">
        <v>372</v>
      </c>
      <c r="D126" s="8"/>
      <c r="E126" s="8"/>
      <c r="F126" s="18"/>
      <c r="G126" s="63"/>
      <c r="H126" s="63"/>
      <c r="I126" s="63"/>
      <c r="J126" s="63"/>
      <c r="K126" s="63"/>
      <c r="L126" s="63"/>
      <c r="M126" s="23"/>
      <c r="N126" s="23"/>
      <c r="O126" s="23"/>
    </row>
    <row r="127">
      <c r="A127" s="226"/>
      <c r="B127" s="8"/>
      <c r="C127" s="184" t="s">
        <v>373</v>
      </c>
      <c r="D127" s="8"/>
      <c r="E127" s="8"/>
      <c r="F127" s="18"/>
      <c r="G127" s="63"/>
      <c r="H127" s="63"/>
      <c r="I127" s="63"/>
      <c r="J127" s="63"/>
      <c r="K127" s="63"/>
      <c r="L127" s="63"/>
      <c r="M127" s="23"/>
      <c r="N127" s="23"/>
      <c r="O127" s="23"/>
    </row>
    <row r="128">
      <c r="A128" s="226"/>
      <c r="B128" s="8"/>
      <c r="C128" s="54" t="s">
        <v>374</v>
      </c>
      <c r="D128" s="8"/>
      <c r="E128" s="8"/>
      <c r="F128" s="18"/>
      <c r="G128" s="63"/>
      <c r="H128" s="63"/>
      <c r="I128" s="63"/>
      <c r="J128" s="63"/>
      <c r="K128" s="63"/>
      <c r="L128" s="63"/>
      <c r="M128" s="23"/>
      <c r="N128" s="23"/>
      <c r="O128" s="23"/>
    </row>
    <row r="129">
      <c r="A129" s="130"/>
      <c r="B129" s="8"/>
      <c r="C129" s="241"/>
      <c r="D129" s="8"/>
      <c r="E129" s="8"/>
      <c r="F129" s="18"/>
      <c r="G129" s="63"/>
      <c r="H129" s="63"/>
      <c r="I129" s="63"/>
      <c r="J129" s="63"/>
      <c r="K129" s="63"/>
      <c r="L129" s="63"/>
      <c r="M129" s="23"/>
      <c r="N129" s="23"/>
      <c r="O129" s="23"/>
    </row>
    <row r="130">
      <c r="A130" s="130"/>
      <c r="B130" s="8"/>
      <c r="C130" s="241"/>
      <c r="D130" s="8"/>
      <c r="E130" s="8"/>
      <c r="F130" s="18"/>
      <c r="G130" s="63"/>
      <c r="H130" s="63"/>
      <c r="I130" s="63"/>
      <c r="J130" s="63"/>
      <c r="K130" s="63"/>
      <c r="L130" s="63"/>
      <c r="M130" s="23"/>
      <c r="N130" s="23"/>
      <c r="O130" s="23"/>
    </row>
    <row r="131">
      <c r="A131" s="130"/>
      <c r="B131" s="8"/>
      <c r="C131" s="241"/>
      <c r="D131" s="8"/>
      <c r="E131" s="8"/>
      <c r="F131" s="18"/>
      <c r="G131" s="63"/>
      <c r="H131" s="63"/>
      <c r="I131" s="63"/>
      <c r="J131" s="63"/>
      <c r="K131" s="63"/>
      <c r="L131" s="63"/>
      <c r="M131" s="23"/>
      <c r="N131" s="23"/>
      <c r="O131" s="23"/>
    </row>
    <row r="132">
      <c r="A132" s="130"/>
      <c r="B132" s="8"/>
      <c r="C132" s="241"/>
      <c r="D132" s="8"/>
      <c r="E132" s="8"/>
      <c r="F132" s="18"/>
      <c r="G132" s="63"/>
      <c r="H132" s="63"/>
      <c r="I132" s="63"/>
      <c r="J132" s="63"/>
      <c r="K132" s="63"/>
      <c r="L132" s="63"/>
      <c r="M132" s="23"/>
      <c r="N132" s="23"/>
      <c r="O132" s="23"/>
    </row>
    <row r="133">
      <c r="A133" s="130"/>
      <c r="B133" s="8"/>
      <c r="C133" s="241"/>
      <c r="D133" s="8"/>
      <c r="E133" s="8"/>
      <c r="F133" s="18"/>
      <c r="G133" s="63"/>
      <c r="H133" s="63"/>
      <c r="I133" s="63"/>
      <c r="J133" s="63"/>
      <c r="K133" s="63"/>
      <c r="L133" s="63"/>
      <c r="M133" s="23"/>
      <c r="N133" s="23"/>
      <c r="O133" s="23"/>
    </row>
    <row r="134">
      <c r="A134" s="130"/>
      <c r="B134" s="8"/>
      <c r="C134" s="240"/>
      <c r="D134" s="8"/>
      <c r="E134" s="8"/>
      <c r="F134" s="18"/>
      <c r="G134" s="63"/>
      <c r="H134" s="63"/>
      <c r="I134" s="63"/>
      <c r="J134" s="63"/>
      <c r="K134" s="63"/>
      <c r="L134" s="63"/>
      <c r="M134" s="23"/>
      <c r="N134" s="23"/>
      <c r="O134" s="23"/>
    </row>
    <row r="135">
      <c r="A135" s="130"/>
      <c r="B135" s="8"/>
      <c r="C135" s="240"/>
      <c r="D135" s="8"/>
      <c r="E135" s="8"/>
      <c r="F135" s="18"/>
      <c r="G135" s="63"/>
      <c r="H135" s="63"/>
      <c r="I135" s="63"/>
      <c r="J135" s="63"/>
      <c r="K135" s="63"/>
      <c r="L135" s="63"/>
      <c r="M135" s="23"/>
      <c r="N135" s="23"/>
      <c r="O135" s="23"/>
    </row>
    <row r="136">
      <c r="A136" s="25"/>
      <c r="B136" s="25">
        <v>136.0</v>
      </c>
      <c r="C136" s="25" t="s">
        <v>447</v>
      </c>
      <c r="D136" s="25"/>
      <c r="E136" s="25"/>
      <c r="F136" s="32" t="s">
        <v>80</v>
      </c>
      <c r="G136" s="121"/>
      <c r="H136" s="63"/>
      <c r="I136" s="63"/>
      <c r="J136" s="121"/>
      <c r="K136" s="63"/>
      <c r="L136" s="63"/>
      <c r="M136" s="246">
        <v>0.0</v>
      </c>
      <c r="N136" s="23">
        <v>0.0</v>
      </c>
      <c r="O136" s="23">
        <v>16.0</v>
      </c>
    </row>
    <row r="137">
      <c r="A137" s="8"/>
      <c r="B137" s="8"/>
      <c r="C137" s="8"/>
      <c r="D137" s="8"/>
      <c r="E137" s="8"/>
      <c r="F137" s="8"/>
      <c r="G137" s="8"/>
      <c r="H137" s="8"/>
      <c r="I137" s="8"/>
      <c r="J137" s="8"/>
      <c r="K137" s="8"/>
      <c r="L137" s="8"/>
      <c r="M137" s="8"/>
      <c r="N137" s="8"/>
      <c r="O137" s="8"/>
    </row>
    <row r="138">
      <c r="A138" s="8"/>
      <c r="B138" s="8"/>
      <c r="C138" s="8"/>
      <c r="D138" s="8"/>
      <c r="E138" s="8"/>
      <c r="F138" s="8"/>
      <c r="G138" s="8"/>
      <c r="H138" s="8"/>
      <c r="I138" s="8"/>
      <c r="J138" s="8"/>
      <c r="K138" s="8"/>
      <c r="L138" s="8"/>
      <c r="M138" s="8"/>
      <c r="N138" s="8"/>
      <c r="O138" s="8"/>
    </row>
    <row r="139">
      <c r="A139" s="8"/>
      <c r="B139" s="8"/>
      <c r="C139" s="8"/>
      <c r="D139" s="8"/>
      <c r="E139" s="8"/>
      <c r="F139" s="8"/>
      <c r="G139" s="8"/>
      <c r="H139" s="8"/>
      <c r="I139" s="8"/>
      <c r="J139" s="8"/>
      <c r="K139" s="8"/>
      <c r="L139" s="8"/>
      <c r="M139" s="8"/>
      <c r="N139" s="8"/>
      <c r="O139" s="8"/>
    </row>
    <row r="140">
      <c r="A140" s="8"/>
      <c r="B140" s="8"/>
      <c r="C140" s="8"/>
      <c r="D140" s="8"/>
      <c r="E140" s="8"/>
      <c r="F140" s="8"/>
      <c r="G140" s="8"/>
      <c r="H140" s="8"/>
      <c r="I140" s="8"/>
      <c r="J140" s="8"/>
      <c r="K140" s="8"/>
      <c r="L140" s="8"/>
      <c r="M140" s="8"/>
      <c r="N140" s="8"/>
      <c r="O140" s="8"/>
    </row>
    <row r="141">
      <c r="A141" s="247" t="s">
        <v>448</v>
      </c>
      <c r="B141" s="68"/>
      <c r="C141" s="68"/>
      <c r="D141" s="69"/>
      <c r="E141" s="8"/>
      <c r="F141" s="8"/>
      <c r="G141" s="8"/>
      <c r="H141" s="8"/>
      <c r="I141" s="8"/>
      <c r="J141" s="8"/>
      <c r="K141" s="8"/>
      <c r="L141" s="8"/>
      <c r="M141" s="8"/>
      <c r="N141" s="8"/>
      <c r="O141" s="8"/>
    </row>
    <row r="142">
      <c r="A142" s="25"/>
      <c r="B142" s="70" t="s">
        <v>5</v>
      </c>
      <c r="C142" s="70" t="s">
        <v>81</v>
      </c>
      <c r="D142" s="70" t="s">
        <v>7</v>
      </c>
      <c r="E142" s="8"/>
      <c r="F142" s="8"/>
      <c r="G142" s="8"/>
      <c r="H142" s="8"/>
      <c r="I142" s="8"/>
      <c r="J142" s="8"/>
      <c r="K142" s="8"/>
      <c r="L142" s="8"/>
      <c r="M142" s="8"/>
      <c r="N142" s="8"/>
      <c r="O142" s="8"/>
    </row>
    <row r="143">
      <c r="A143" s="70" t="s">
        <v>82</v>
      </c>
      <c r="B143" s="25">
        <v>16.0</v>
      </c>
      <c r="C143" s="25">
        <v>0.0</v>
      </c>
      <c r="D143" s="25">
        <v>0.0</v>
      </c>
      <c r="E143" s="8"/>
      <c r="F143" s="8"/>
      <c r="G143" s="8"/>
      <c r="H143" s="8"/>
      <c r="I143" s="8"/>
      <c r="J143" s="8"/>
      <c r="K143" s="8"/>
      <c r="L143" s="8"/>
      <c r="M143" s="8"/>
      <c r="N143" s="8"/>
      <c r="O143" s="8"/>
    </row>
    <row r="144">
      <c r="A144" s="70" t="s">
        <v>83</v>
      </c>
      <c r="B144" s="25">
        <v>0.0</v>
      </c>
      <c r="C144" s="25">
        <v>0.0</v>
      </c>
      <c r="D144" s="25">
        <v>0.0</v>
      </c>
      <c r="E144" s="8"/>
      <c r="F144" s="8"/>
      <c r="G144" s="8"/>
      <c r="H144" s="8"/>
      <c r="I144" s="8"/>
      <c r="J144" s="8"/>
      <c r="K144" s="8"/>
      <c r="L144" s="8"/>
      <c r="M144" s="8"/>
      <c r="N144" s="8"/>
      <c r="O144" s="8"/>
    </row>
    <row r="145">
      <c r="A145" s="70" t="s">
        <v>84</v>
      </c>
      <c r="B145" s="25">
        <v>0.0</v>
      </c>
      <c r="C145" s="25">
        <v>0.0</v>
      </c>
      <c r="D145" s="25">
        <v>0.0</v>
      </c>
      <c r="E145" s="8"/>
      <c r="F145" s="8"/>
      <c r="G145" s="8"/>
      <c r="H145" s="8"/>
      <c r="I145" s="8"/>
      <c r="J145" s="8"/>
      <c r="K145" s="8"/>
      <c r="L145" s="8"/>
      <c r="M145" s="8"/>
      <c r="N145" s="8"/>
      <c r="O145" s="8"/>
    </row>
    <row r="146">
      <c r="A146" s="70" t="s">
        <v>85</v>
      </c>
      <c r="B146" s="25">
        <v>114.0</v>
      </c>
      <c r="C146" s="25">
        <v>0.0</v>
      </c>
      <c r="D146" s="25">
        <v>0.0</v>
      </c>
      <c r="E146" s="8"/>
      <c r="F146" s="8"/>
      <c r="G146" s="8"/>
      <c r="H146" s="8"/>
      <c r="I146" s="8"/>
      <c r="J146" s="8"/>
      <c r="K146" s="8"/>
      <c r="L146" s="8"/>
      <c r="M146" s="8"/>
      <c r="N146" s="8"/>
      <c r="O146" s="8"/>
    </row>
    <row r="147">
      <c r="A147" s="8"/>
      <c r="B147" s="8"/>
      <c r="C147" s="8"/>
      <c r="D147" s="8"/>
      <c r="E147" s="8"/>
      <c r="F147" s="8"/>
      <c r="G147" s="8"/>
      <c r="H147" s="8"/>
      <c r="I147" s="8"/>
      <c r="J147" s="8"/>
      <c r="K147" s="8"/>
      <c r="L147" s="8"/>
      <c r="M147" s="8"/>
      <c r="N147" s="8"/>
      <c r="O147" s="8"/>
    </row>
    <row r="148">
      <c r="A148" s="8"/>
      <c r="B148" s="8"/>
      <c r="C148" s="8"/>
      <c r="D148" s="8"/>
      <c r="E148" s="8"/>
      <c r="F148" s="8"/>
      <c r="G148" s="8"/>
      <c r="H148" s="8"/>
      <c r="I148" s="8"/>
      <c r="J148" s="8"/>
      <c r="K148" s="8"/>
      <c r="L148" s="8"/>
      <c r="M148" s="8"/>
      <c r="N148" s="8"/>
      <c r="O148" s="8"/>
    </row>
    <row r="149">
      <c r="A149" s="248" t="s">
        <v>86</v>
      </c>
      <c r="B149" s="68"/>
      <c r="C149" s="68"/>
      <c r="D149" s="68"/>
      <c r="E149" s="69"/>
      <c r="F149" s="8"/>
      <c r="G149" s="8"/>
      <c r="H149" s="8"/>
      <c r="I149" s="8"/>
      <c r="J149" s="8"/>
      <c r="K149" s="8"/>
      <c r="L149" s="8"/>
      <c r="M149" s="8"/>
      <c r="N149" s="8"/>
      <c r="O149" s="8"/>
    </row>
    <row r="150">
      <c r="A150" s="70" t="s">
        <v>8</v>
      </c>
      <c r="B150" s="25"/>
      <c r="C150" s="25"/>
      <c r="D150" s="25"/>
      <c r="E150" s="70" t="s">
        <v>87</v>
      </c>
      <c r="F150" s="8"/>
      <c r="G150" s="8"/>
      <c r="H150" s="8"/>
      <c r="I150" s="8"/>
      <c r="J150" s="8"/>
      <c r="K150" s="8"/>
      <c r="L150" s="8"/>
      <c r="M150" s="8"/>
      <c r="N150" s="8"/>
      <c r="O150" s="8"/>
    </row>
    <row r="151">
      <c r="A151" s="249" t="s">
        <v>88</v>
      </c>
      <c r="B151" s="25"/>
      <c r="C151" s="25"/>
      <c r="D151" s="25"/>
      <c r="E151" s="75" t="s">
        <v>24</v>
      </c>
      <c r="F151" s="8"/>
      <c r="G151" s="8"/>
      <c r="H151" s="8"/>
      <c r="I151" s="8"/>
      <c r="J151" s="8"/>
      <c r="K151" s="8"/>
      <c r="L151" s="8"/>
      <c r="M151" s="8"/>
      <c r="N151" s="8"/>
      <c r="O151" s="8"/>
    </row>
    <row r="152">
      <c r="A152" s="250" t="s">
        <v>89</v>
      </c>
      <c r="B152" s="25"/>
      <c r="C152" s="25"/>
      <c r="D152" s="25"/>
      <c r="E152" s="77" t="s">
        <v>13</v>
      </c>
      <c r="F152" s="8"/>
      <c r="G152" s="8"/>
      <c r="H152" s="8"/>
      <c r="I152" s="8"/>
      <c r="J152" s="8"/>
      <c r="K152" s="8"/>
      <c r="L152" s="8"/>
      <c r="M152" s="8"/>
      <c r="N152" s="8"/>
      <c r="O152" s="8"/>
    </row>
    <row r="153">
      <c r="A153" s="251" t="s">
        <v>90</v>
      </c>
      <c r="B153" s="25"/>
      <c r="C153" s="25"/>
      <c r="D153" s="25"/>
      <c r="E153" s="79" t="s">
        <v>91</v>
      </c>
      <c r="F153" s="8"/>
      <c r="G153" s="8"/>
      <c r="H153" s="8"/>
      <c r="I153" s="8"/>
      <c r="J153" s="8"/>
      <c r="K153" s="8"/>
      <c r="L153" s="8"/>
      <c r="M153" s="8"/>
      <c r="N153" s="8"/>
      <c r="O153" s="8"/>
    </row>
    <row r="154">
      <c r="A154" s="252" t="s">
        <v>92</v>
      </c>
      <c r="B154" s="25"/>
      <c r="C154" s="25"/>
      <c r="D154" s="25"/>
      <c r="E154" s="81" t="s">
        <v>10</v>
      </c>
      <c r="F154" s="8"/>
      <c r="G154" s="8"/>
      <c r="H154" s="8"/>
      <c r="I154" s="8"/>
      <c r="J154" s="8"/>
      <c r="K154" s="8"/>
      <c r="L154" s="8"/>
      <c r="M154" s="8"/>
      <c r="N154" s="8"/>
      <c r="O154" s="8"/>
    </row>
    <row r="155">
      <c r="A155" s="253" t="s">
        <v>93</v>
      </c>
      <c r="B155" s="25"/>
      <c r="C155" s="25"/>
      <c r="D155" s="25"/>
      <c r="E155" s="83" t="s">
        <v>94</v>
      </c>
      <c r="F155" s="8"/>
      <c r="G155" s="8"/>
      <c r="H155" s="8"/>
      <c r="I155" s="8"/>
      <c r="J155" s="8"/>
      <c r="K155" s="8"/>
      <c r="L155" s="8"/>
      <c r="M155" s="8"/>
      <c r="N155" s="8"/>
      <c r="O155" s="8"/>
    </row>
    <row r="156">
      <c r="A156" s="254" t="s">
        <v>95</v>
      </c>
      <c r="B156" s="25"/>
      <c r="C156" s="25"/>
      <c r="D156" s="25"/>
      <c r="E156" s="85" t="s">
        <v>11</v>
      </c>
      <c r="F156" s="8"/>
      <c r="G156" s="8"/>
      <c r="H156" s="8"/>
      <c r="I156" s="8"/>
      <c r="J156" s="8"/>
      <c r="K156" s="8"/>
      <c r="L156" s="8"/>
      <c r="M156" s="8"/>
      <c r="N156" s="8"/>
      <c r="O156" s="8"/>
    </row>
    <row r="157">
      <c r="A157" s="255" t="s">
        <v>96</v>
      </c>
      <c r="B157" s="25"/>
      <c r="C157" s="25"/>
      <c r="D157" s="25"/>
      <c r="E157" s="87" t="s">
        <v>97</v>
      </c>
      <c r="F157" s="8"/>
      <c r="G157" s="8"/>
      <c r="H157" s="8"/>
      <c r="I157" s="8"/>
      <c r="J157" s="8"/>
      <c r="K157" s="8"/>
      <c r="L157" s="8"/>
      <c r="M157" s="8"/>
      <c r="N157" s="8"/>
      <c r="O157" s="8"/>
    </row>
    <row r="158">
      <c r="A158" s="256" t="s">
        <v>98</v>
      </c>
      <c r="B158" s="25"/>
      <c r="C158" s="25"/>
      <c r="D158" s="25"/>
      <c r="E158" s="89" t="s">
        <v>12</v>
      </c>
      <c r="F158" s="8"/>
      <c r="G158" s="8"/>
      <c r="H158" s="8"/>
      <c r="I158" s="8"/>
      <c r="J158" s="8"/>
      <c r="K158" s="8"/>
      <c r="L158" s="8"/>
      <c r="M158" s="8"/>
      <c r="N158" s="8"/>
      <c r="O158" s="8"/>
    </row>
    <row r="159">
      <c r="A159" s="257" t="s">
        <v>99</v>
      </c>
      <c r="B159" s="25"/>
      <c r="C159" s="25"/>
      <c r="D159" s="25"/>
      <c r="E159" s="91" t="s">
        <v>100</v>
      </c>
      <c r="F159" s="8"/>
      <c r="G159" s="8"/>
      <c r="H159" s="8"/>
      <c r="I159" s="8"/>
      <c r="J159" s="8"/>
      <c r="K159" s="8"/>
      <c r="L159" s="8"/>
      <c r="M159" s="8"/>
      <c r="N159" s="8"/>
      <c r="O159" s="8"/>
    </row>
    <row r="160">
      <c r="A160" s="258" t="s">
        <v>101</v>
      </c>
      <c r="B160" s="25"/>
      <c r="C160" s="25"/>
      <c r="D160" s="25"/>
      <c r="E160" s="25"/>
      <c r="F160" s="8"/>
      <c r="G160" s="8"/>
      <c r="H160" s="8"/>
      <c r="I160" s="8"/>
      <c r="J160" s="8"/>
      <c r="K160" s="8"/>
      <c r="L160" s="8"/>
      <c r="M160" s="8"/>
      <c r="N160" s="8"/>
      <c r="O160" s="8"/>
    </row>
    <row r="161">
      <c r="A161" s="259" t="s">
        <v>102</v>
      </c>
      <c r="B161" s="25"/>
      <c r="C161" s="25"/>
      <c r="D161" s="25"/>
      <c r="E161" s="25"/>
      <c r="F161" s="8"/>
      <c r="G161" s="8"/>
      <c r="H161" s="8"/>
      <c r="I161" s="8"/>
      <c r="J161" s="8"/>
      <c r="K161" s="8"/>
      <c r="L161" s="8"/>
      <c r="M161" s="8"/>
      <c r="N161" s="8"/>
      <c r="O161" s="8"/>
    </row>
    <row r="162">
      <c r="A162" s="260" t="s">
        <v>103</v>
      </c>
      <c r="B162" s="25"/>
      <c r="C162" s="25"/>
      <c r="D162" s="25"/>
      <c r="E162" s="25"/>
      <c r="F162" s="8"/>
      <c r="G162" s="8"/>
      <c r="H162" s="8"/>
      <c r="I162" s="8"/>
      <c r="J162" s="8"/>
      <c r="K162" s="8"/>
      <c r="L162" s="8"/>
      <c r="M162" s="8"/>
      <c r="N162" s="8"/>
      <c r="O162" s="8"/>
    </row>
    <row r="163">
      <c r="A163" s="261" t="s">
        <v>104</v>
      </c>
      <c r="B163" s="25"/>
      <c r="C163" s="25"/>
      <c r="D163" s="25"/>
      <c r="E163" s="25"/>
      <c r="F163" s="8"/>
      <c r="G163" s="8"/>
      <c r="H163" s="8"/>
      <c r="I163" s="8"/>
      <c r="J163" s="8"/>
      <c r="K163" s="8"/>
      <c r="L163" s="8"/>
      <c r="M163" s="8"/>
      <c r="N163" s="8"/>
      <c r="O163" s="8"/>
    </row>
    <row r="164">
      <c r="A164" s="262" t="s">
        <v>105</v>
      </c>
      <c r="B164" s="25"/>
      <c r="C164" s="25"/>
      <c r="D164" s="25"/>
      <c r="E164" s="25"/>
      <c r="F164" s="8"/>
      <c r="G164" s="8"/>
      <c r="H164" s="8"/>
      <c r="I164" s="8"/>
      <c r="J164" s="8"/>
      <c r="K164" s="8"/>
      <c r="L164" s="8"/>
      <c r="M164" s="8"/>
      <c r="N164" s="8"/>
      <c r="O164" s="8"/>
    </row>
    <row r="165">
      <c r="A165" s="263" t="s">
        <v>106</v>
      </c>
      <c r="B165" s="25"/>
      <c r="C165" s="25"/>
      <c r="D165" s="25"/>
      <c r="E165" s="25"/>
      <c r="F165" s="8"/>
      <c r="G165" s="8"/>
      <c r="H165" s="8"/>
      <c r="I165" s="8"/>
      <c r="J165" s="8"/>
      <c r="K165" s="8"/>
      <c r="L165" s="8"/>
      <c r="M165" s="8"/>
      <c r="N165" s="8"/>
      <c r="O165" s="8"/>
    </row>
    <row r="166">
      <c r="A166" s="8"/>
      <c r="B166" s="8"/>
      <c r="C166" s="8"/>
      <c r="D166" s="8"/>
      <c r="E166" s="8"/>
      <c r="F166" s="8"/>
      <c r="G166" s="8"/>
      <c r="H166" s="8"/>
      <c r="I166" s="8"/>
      <c r="J166" s="8"/>
      <c r="K166" s="8"/>
      <c r="L166" s="8"/>
      <c r="M166" s="8"/>
      <c r="N166" s="8"/>
      <c r="O166" s="8"/>
    </row>
    <row r="167">
      <c r="A167" s="8"/>
      <c r="B167" s="8"/>
      <c r="C167" s="8"/>
      <c r="D167" s="8"/>
      <c r="E167" s="8"/>
      <c r="F167" s="8"/>
      <c r="G167" s="8"/>
      <c r="H167" s="8"/>
      <c r="I167" s="8"/>
      <c r="J167" s="8"/>
      <c r="K167" s="8"/>
      <c r="L167" s="8"/>
      <c r="M167" s="8"/>
      <c r="N167" s="8"/>
      <c r="O167" s="8"/>
    </row>
    <row r="168">
      <c r="A168" s="8"/>
      <c r="B168" s="8"/>
      <c r="C168" s="8"/>
      <c r="D168" s="8"/>
      <c r="E168" s="8"/>
      <c r="F168" s="8"/>
      <c r="G168" s="8"/>
      <c r="H168" s="8"/>
      <c r="I168" s="8"/>
      <c r="J168" s="8"/>
      <c r="K168" s="8"/>
      <c r="L168" s="8"/>
      <c r="M168" s="8"/>
      <c r="N168" s="8"/>
      <c r="O168" s="8"/>
    </row>
    <row r="169">
      <c r="A169" s="8"/>
      <c r="B169" s="8"/>
      <c r="C169" s="8"/>
      <c r="D169" s="8"/>
      <c r="E169" s="8"/>
      <c r="F169" s="8"/>
      <c r="G169" s="8"/>
      <c r="H169" s="8"/>
      <c r="I169" s="8"/>
      <c r="J169" s="8"/>
      <c r="K169" s="8"/>
      <c r="L169" s="8"/>
      <c r="M169" s="8"/>
      <c r="N169" s="8"/>
      <c r="O169" s="8"/>
    </row>
    <row r="170">
      <c r="A170" s="8"/>
      <c r="B170" s="8"/>
      <c r="C170" s="8"/>
      <c r="D170" s="8"/>
      <c r="E170" s="8"/>
      <c r="F170" s="8"/>
      <c r="G170" s="8"/>
      <c r="H170" s="8"/>
      <c r="I170" s="8"/>
      <c r="J170" s="8"/>
      <c r="K170" s="8"/>
      <c r="L170" s="8"/>
      <c r="M170" s="8"/>
      <c r="N170" s="8"/>
      <c r="O170" s="8"/>
    </row>
  </sheetData>
  <mergeCells count="17">
    <mergeCell ref="G1:I1"/>
    <mergeCell ref="J1:L1"/>
    <mergeCell ref="M1:O1"/>
    <mergeCell ref="A6:A20"/>
    <mergeCell ref="A21:A47"/>
    <mergeCell ref="A49:A69"/>
    <mergeCell ref="B50:B52"/>
    <mergeCell ref="B63:B65"/>
    <mergeCell ref="A141:D141"/>
    <mergeCell ref="A149:E149"/>
    <mergeCell ref="B53:B56"/>
    <mergeCell ref="B59:B62"/>
    <mergeCell ref="A70:A82"/>
    <mergeCell ref="A83:A94"/>
    <mergeCell ref="A95:A108"/>
    <mergeCell ref="A109:A125"/>
    <mergeCell ref="A126:A128"/>
  </mergeCells>
  <conditionalFormatting sqref="B3:D3 G4:O4">
    <cfRule type="cellIs" dxfId="14" priority="1" stopIfTrue="1" operator="equal">
      <formula>"Anu"</formula>
    </cfRule>
  </conditionalFormatting>
  <conditionalFormatting sqref="B3:D3 G4:O4">
    <cfRule type="cellIs" dxfId="0" priority="2" stopIfTrue="1" operator="equal">
      <formula>"Amrita"</formula>
    </cfRule>
  </conditionalFormatting>
  <conditionalFormatting sqref="B3:D3 G4:O4">
    <cfRule type="cellIs" dxfId="1" priority="3" stopIfTrue="1" operator="equal">
      <formula>"Soumya"</formula>
    </cfRule>
  </conditionalFormatting>
  <conditionalFormatting sqref="B3:D3 G4:O4">
    <cfRule type="cellIs" dxfId="2" priority="4" stopIfTrue="1" operator="equal">
      <formula>"Hannah"</formula>
    </cfRule>
  </conditionalFormatting>
  <conditionalFormatting sqref="B3:D3 G4:O4">
    <cfRule type="cellIs" dxfId="3" priority="5" stopIfTrue="1" operator="equal">
      <formula>"Naga Lakshmi"</formula>
    </cfRule>
  </conditionalFormatting>
  <conditionalFormatting sqref="B3:D3 G4:O4">
    <cfRule type="cellIs" dxfId="4" priority="6" stopIfTrue="1" operator="equal">
      <formula>"Nitin"</formula>
    </cfRule>
  </conditionalFormatting>
  <conditionalFormatting sqref="B3:D3 G4:O4">
    <cfRule type="cellIs" dxfId="15" priority="7" stopIfTrue="1" operator="equal">
      <formula>"Pankhuri"</formula>
    </cfRule>
  </conditionalFormatting>
  <conditionalFormatting sqref="B3:D3 G4:O4">
    <cfRule type="cellIs" dxfId="5" priority="8" stopIfTrue="1" operator="equal">
      <formula>"Ramakrishna"</formula>
    </cfRule>
  </conditionalFormatting>
  <conditionalFormatting sqref="B3:D3 G4:O4">
    <cfRule type="cellIs" dxfId="6" priority="9" stopIfTrue="1" operator="equal">
      <formula>"Abdul"</formula>
    </cfRule>
  </conditionalFormatting>
  <conditionalFormatting sqref="B3:D3 G4:O4">
    <cfRule type="cellIs" dxfId="7" priority="10" stopIfTrue="1" operator="equal">
      <formula>"Saheli"</formula>
    </cfRule>
  </conditionalFormatting>
  <conditionalFormatting sqref="B3:D3 G4:O4">
    <cfRule type="cellIs" dxfId="8" priority="11" stopIfTrue="1" operator="equal">
      <formula>"Prachi"</formula>
    </cfRule>
  </conditionalFormatting>
  <conditionalFormatting sqref="B3:D3 G4:O4">
    <cfRule type="cellIs" dxfId="9" priority="12" stopIfTrue="1" operator="equal">
      <formula>"Vishnu"</formula>
    </cfRule>
  </conditionalFormatting>
  <conditionalFormatting sqref="B3:D3 G4:O4">
    <cfRule type="cellIs" dxfId="10" priority="13" stopIfTrue="1" operator="equal">
      <formula>"Ivy"</formula>
    </cfRule>
  </conditionalFormatting>
  <conditionalFormatting sqref="B3:D3 G4:O4">
    <cfRule type="cellIs" dxfId="11" priority="14" stopIfTrue="1" operator="equal">
      <formula>"Rupal"</formula>
    </cfRule>
  </conditionalFormatting>
  <conditionalFormatting sqref="B3:D3 G4:O4">
    <cfRule type="cellIs" dxfId="25" priority="15" stopIfTrue="1" operator="equal">
      <formula>"Utkarsh"</formula>
    </cfRule>
  </conditionalFormatting>
  <conditionalFormatting sqref="G6:H135 I6:I57 J6:K135 L6:L57 M6:N135 O6:O57 I59:I135 L59:L135 O59:O135">
    <cfRule type="cellIs" dxfId="16" priority="16" stopIfTrue="1" operator="equal">
      <formula>"OK"</formula>
    </cfRule>
  </conditionalFormatting>
  <conditionalFormatting sqref="B3:D3 G4:O4 G6:H135 I6:I57 J6:K135 L6:L57 M6:N135 O6:O57 I59:I135 L59:L135 O59:O135">
    <cfRule type="cellIs" dxfId="18" priority="17" stopIfTrue="1" operator="equal">
      <formula>"Not Tested"</formula>
    </cfRule>
  </conditionalFormatting>
  <conditionalFormatting sqref="G6:H135 I6:I57 J6:K135 L6:L57 M6:N135 O6:O57 I59:I135 L59:L135 O59:O135">
    <cfRule type="cellIs" dxfId="19" priority="18" stopIfTrue="1" operator="equal">
      <formula>"N/A"</formula>
    </cfRule>
  </conditionalFormatting>
  <conditionalFormatting sqref="B2:D2 G3:O3">
    <cfRule type="containsText" dxfId="20" priority="19" stopIfTrue="1" operator="containsText" text="Incomplete">
      <formula>NOT(ISERROR(SEARCH(("Incomplete"),(B2))))</formula>
    </cfRule>
  </conditionalFormatting>
  <conditionalFormatting sqref="B2:D2 G3:O3">
    <cfRule type="containsText" dxfId="17" priority="20" stopIfTrue="1" operator="containsText" text="Broken">
      <formula>NOT(ISERROR(SEARCH(("Broken"),(B2))))</formula>
    </cfRule>
  </conditionalFormatting>
  <conditionalFormatting sqref="B2:D2 G3:O3">
    <cfRule type="containsText" dxfId="21" priority="21" stopIfTrue="1" operator="containsText" text="Some problems">
      <formula>NOT(ISERROR(SEARCH(("Some problems"),(B2))))</formula>
    </cfRule>
  </conditionalFormatting>
  <conditionalFormatting sqref="B2:D2 G3:O3">
    <cfRule type="containsText" dxfId="22" priority="22" stopIfTrue="1" operator="containsText" text="All OK">
      <formula>NOT(ISERROR(SEARCH(("All OK"),(B2))))</formula>
    </cfRule>
  </conditionalFormatting>
  <conditionalFormatting sqref="B2:D2 G3:O3">
    <cfRule type="containsText" dxfId="23" priority="23" stopIfTrue="1" operator="containsText" text="In Progress">
      <formula>NOT(ISERROR(SEARCH(("In Progress"),(B2))))</formula>
    </cfRule>
  </conditionalFormatting>
  <conditionalFormatting sqref="B2:D2 G3:O3">
    <cfRule type="containsText" dxfId="24" priority="24" stopIfTrue="1" operator="containsText" text="Not Tested">
      <formula>NOT(ISERROR(SEARCH(("Not Tested"),(B2))))</formula>
    </cfRule>
  </conditionalFormatting>
  <drawing r:id="rId1"/>
</worksheet>
</file>