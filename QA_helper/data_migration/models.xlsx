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" sheetId="1" r:id="rId5"/>
    <sheet state="visible" name="2026-1 Record" sheetId="2" r:id="rId6"/>
    <sheet state="visible" name="2025-3 Record" sheetId="3" r:id="rId7"/>
    <sheet state="visible" name="2025-2 Record" sheetId="4" r:id="rId8"/>
    <sheet state="visible" name="2025-1 Record" sheetId="5" r:id="rId9"/>
    <sheet state="visible" name="2024-4 Record" sheetId="6" r:id="rId10"/>
    <sheet state="visible" name="2024-3 Record" sheetId="7" r:id="rId11"/>
    <sheet state="visible" name="2024-2 Record" sheetId="8" r:id="rId12"/>
    <sheet state="visible" name="2024-1 Record" sheetId="9" r:id="rId13"/>
    <sheet state="visible" name="23-4 Record" sheetId="10" r:id="rId14"/>
    <sheet state="visible" name="23-3 Record" sheetId="11" r:id="rId15"/>
    <sheet state="visible" name="2023-2 Record" sheetId="12" r:id="rId16"/>
    <sheet state="visible" name="2023-1 Record" sheetId="13" r:id="rId17"/>
    <sheet state="visible" name="2022-4 Record" sheetId="14" r:id="rId18"/>
    <sheet state="visible" name="2022-3 Record" sheetId="15" r:id="rId19"/>
    <sheet state="visible" name="22-2 Record" sheetId="16" r:id="rId20"/>
    <sheet state="visible" name="9.1 Record" sheetId="17" r:id="rId21"/>
    <sheet state="visible" name="9.0.x Record" sheetId="18" r:id="rId22"/>
    <sheet state="visible" name="8.11.x Record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tc={a19f531a-3704-43bb-8059-15796bf7a8cc}</author>
    <author>tc={e1e93905-76b1-439e-9775-d2cc9cdd33f7}</author>
    <author>tc={e813580f-0a64-462e-9635-27ea9e18b94f}</author>
  </authors>
  <commentList>
    <comment authorId="0" xr:uid="{a19f531a-3704-43bb-8059-15796bf7a8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 you please provide an example for this? @chatterj@schrodinger.com
Assigned to chatterj@schrodinger.com
</t>
      </text>
    </comment>
    <comment authorId="1" xr:uid="{e1e93905-76b1-439e-9775-d2cc9cdd33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@chatterj@schrodinger.com  Does this require testing in 2022.1.x?
Assigned to chatterj@schrodinger.com
</t>
      </text>
    </comment>
    <comment authorId="2" xr:uid="{e813580f-0a64-462e-9635-27ea9e18b94f}" ref="C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@chatterj@schrodinger.com Do we have the new work merged in? If so, could you please add the test cases to this LR.
Assigned to chatterj@schrodinger.com
Reply:
	It has been slated for 2022-2.2 and is in code review
Reply:
	https://jira.schrodinger.com/browse/SS-30985
Reply:
	Marked as done
Reply:
	Thanks
Re-opened
</t>
      </text>
    </comment>
  </commentList>
</comments>
</file>

<file path=xl/sharedStrings.xml><?xml version="1.0" encoding="utf-8"?>
<sst xmlns="http://schemas.openxmlformats.org/spreadsheetml/2006/main" count="9635" uniqueCount="638">
  <si>
    <t>Blocker/Critical</t>
  </si>
  <si>
    <t>LD 2026-1 Pass 3 (StartDate: 27/Jan/2025) Build(#)</t>
  </si>
  <si>
    <t>LD 2026-1 Pass 2 (StartDate: 5/Jan/2025) Build(#)</t>
  </si>
  <si>
    <t>LD 2026-1 Pass 1 (StartDate: 1/Dec/2025) Build(#)</t>
  </si>
  <si>
    <t>Major</t>
  </si>
  <si>
    <t>MS Edge</t>
  </si>
  <si>
    <t>FireFox</t>
  </si>
  <si>
    <t>Chrome</t>
  </si>
  <si>
    <t>Testers</t>
  </si>
  <si>
    <t>Minor,Cosmetic</t>
  </si>
  <si>
    <t>Incomplete</t>
  </si>
  <si>
    <t>In Progress</t>
  </si>
  <si>
    <t>Not Tested</t>
  </si>
  <si>
    <t>Tasleem</t>
  </si>
  <si>
    <t>Soumyajit</t>
  </si>
  <si>
    <t>Feature</t>
  </si>
  <si>
    <t>SubFeature</t>
  </si>
  <si>
    <t>Test Case(s)</t>
  </si>
  <si>
    <t>Selenium Test(s)</t>
  </si>
  <si>
    <t>API Test(s)</t>
  </si>
  <si>
    <t>Notes</t>
  </si>
  <si>
    <t>Protocol Admin Panel</t>
  </si>
  <si>
    <t>Protocols UI</t>
  </si>
  <si>
    <t>- Search (substring search on name and description)
- Actions dropdown (Archive Selected Items)
- Selected count
- Filter By User
- Number of pages + Total Protocol/Models count (only when total count &gt; 100)</t>
  </si>
  <si>
    <t>OK</t>
  </si>
  <si>
    <t>Protocol Table Columns
- Checkbox
- Name
- Description
- Folder
- No. of Dependent Models / Parent Protcool
- Created By
- Last Modified on
- Created on (Default Desc sorted)</t>
  </si>
  <si>
    <t>Operations:
- Checkboxes (Select all in current page - max 100, Select all # protocols/models, Clear Selection)
- Sort (Single column sort, Multi column sort, Toggle sort, Clear sort)
- Filter By User (Default - All, Current User and other admin/project admin/protocol builder users)
- Add a new protocol button
- Click on any existing protocol redirects to protocol page</t>
  </si>
  <si>
    <t>Protocols UI and Operations</t>
  </si>
  <si>
    <t>Operations</t>
  </si>
  <si>
    <t>Add a new protocol</t>
  </si>
  <si>
    <r>
      <rPr>
        <rFont val="Arial"/>
        <color rgb="FF38761D"/>
        <u/>
      </rPr>
      <t xml:space="preserve">test_create_protocol.py
</t>
    </r>
    <r>
      <rPr>
        <rFont val="Arial"/>
      </rPr>
      <t xml:space="preserve">
</t>
    </r>
    <r>
      <rPr>
        <rFont val="Arial"/>
        <color rgb="FFFF9900"/>
        <u/>
      </rPr>
      <t>test_get_and_verify_protocols_by_project_id.py</t>
    </r>
    <r>
      <rPr>
        <rFont val="Arial"/>
        <color rgb="FFFF9900"/>
      </rPr>
      <t xml:space="preserve">
</t>
    </r>
    <r>
      <rPr>
        <rFont val="Arial"/>
      </rPr>
      <t xml:space="preserve">
</t>
    </r>
    <r>
      <rPr>
        <rFont val="Arial"/>
        <color rgb="FFFF0000"/>
        <u/>
      </rPr>
      <t>test_multiple_protocols_object_and_id_by_name.py</t>
    </r>
    <r>
      <rPr>
        <rFont val="Arial"/>
        <color rgb="FFFF0000"/>
      </rPr>
      <t xml:space="preserve">
</t>
    </r>
    <r>
      <rPr>
        <rFont val="Arial"/>
      </rPr>
      <t xml:space="preserve">
</t>
    </r>
    <r>
      <rPr>
        <rFont val="Arial"/>
        <color rgb="FF38761D"/>
        <u/>
      </rPr>
      <t xml:space="preserve">test_non_existent_protocol_object_and_id_by_name.py
</t>
    </r>
    <r>
      <rPr>
        <rFont val="Arial"/>
      </rPr>
      <t xml:space="preserve">
</t>
    </r>
    <r>
      <rPr>
        <rFont val="Arial"/>
        <color rgb="FF38761D"/>
        <u/>
      </rPr>
      <t>test_unique_protocol_object_and_id_by_name.py</t>
    </r>
  </si>
  <si>
    <t>Edit an existing protocol</t>
  </si>
  <si>
    <t>Duplicate a protocol</t>
  </si>
  <si>
    <t>Archive a protocol (without dependent model)</t>
  </si>
  <si>
    <t>test_archive_protocol.py</t>
  </si>
  <si>
    <t xml:space="preserve">Add a dependent model </t>
  </si>
  <si>
    <t>Metadata</t>
  </si>
  <si>
    <t>- ID (autogenerated upon save)
- Name*
- Created By (current user upon save)
- Description*</t>
  </si>
  <si>
    <t>SS-42232</t>
  </si>
  <si>
    <t>Projects*
- Available Projects should display all available projects for that specific user
- Filter functionality in Available Projects
- Chosen Projects: Option to add/remove projects 
- Choose All; Remove All option</t>
  </si>
  <si>
    <t>Batch Size*
- Increment/Decrement button
- should include following message "Specify the maximum number of compounds which should be submitted in a batch.This should be an integer from 0 to 999999999. Use 0 to indicate that batches can be arbitrarily large."</t>
  </si>
  <si>
    <t xml:space="preserve">Existing Protocols
- Last Modified on
- Created on </t>
  </si>
  <si>
    <t>Dependent Models list (only if existing unarchived models are available)</t>
  </si>
  <si>
    <t>Queue</t>
  </si>
  <si>
    <t>Synchronous</t>
  </si>
  <si>
    <t>Fast</t>
  </si>
  <si>
    <t>Asynchronous</t>
  </si>
  <si>
    <t>Type</t>
  </si>
  <si>
    <t>Realtime</t>
  </si>
  <si>
    <t>Click to Run</t>
  </si>
  <si>
    <t>Clustering</t>
  </si>
  <si>
    <t>Normal</t>
  </si>
  <si>
    <t>Recalc Model</t>
  </si>
  <si>
    <t>Automatically</t>
  </si>
  <si>
    <t>Manually</t>
  </si>
  <si>
    <t>Command
Named Macros</t>
  </si>
  <si>
    <t>NUMERIC-INPUT
- Parameter type: INTEGER</t>
  </si>
  <si>
    <t>TEXT-INPUT
- Parameter type: STRING</t>
  </si>
  <si>
    <t>FILE-INPUT
- Parameter type: FILE</t>
  </si>
  <si>
    <t>COLUMN-INPUT
- Parameter type: COLUMN
- Parameter source dropdown won't be available</t>
  </si>
  <si>
    <t>MULTI-COLUMN-INPUT
- Parameter type: MULTI_COLUMN
- Parameter source dropdown won't be available</t>
  </si>
  <si>
    <t>LIST-INPUT
- Parameter type: LIST_INPUT
List Widget (upon saving command with LIST-INPUT)
- displays a list widget just above the Model Data Section
- Can add only either text or numeric based data 
- Can allow Multiple Input
- displays dropdown in the data column in model data table (upon save)
- If no items are in list, displays "Items for list can only be added to Text and Numeric Type"
- Numeric data validation if non-numeric value is entered
If a list value is selected in protocol or child model, removing it in list widget displays a warning message</t>
  </si>
  <si>
    <t>test_picklist_models.py</t>
  </si>
  <si>
    <t>Command
Builtin Macros</t>
  </si>
  <si>
    <t>SDF-FILE</t>
  </si>
  <si>
    <t>ORIG-SDIF-FILE</t>
  </si>
  <si>
    <t>ENTITY-FILE</t>
  </si>
  <si>
    <r>
      <rPr>
        <rFont val="Arial"/>
        <color rgb="FF000000"/>
      </rPr>
      <t xml:space="preserve">LIVEDESIGN-URL
- references </t>
    </r>
    <r>
      <rPr>
        <rFont val="Arial"/>
      </rPr>
      <t>"</t>
    </r>
    <r>
      <rPr>
        <rFont val="Arial"/>
        <color rgb="FF1155CC"/>
        <u/>
      </rPr>
      <t>http://livedesign-internal/livedesign</t>
    </r>
    <r>
      <rPr>
        <rFont val="Arial"/>
      </rPr>
      <t>"</t>
    </r>
  </si>
  <si>
    <t>RDKIT-MOL</t>
  </si>
  <si>
    <t xml:space="preserve">MAE-FILE </t>
  </si>
  <si>
    <t>Command Table</t>
  </si>
  <si>
    <t>"At least one command is required" displayed when there is no single command</t>
  </si>
  <si>
    <t>Add another command button
- Clicking on it, will add a new command text field, default sync driver and delete icon
- Driver column - dropdown listing drivers from drivers page
- Click Delete icon to remove a command row</t>
  </si>
  <si>
    <t>Model Data</t>
  </si>
  <si>
    <t>Once the command(s) are saved, following columns should have approriate values based on the commands if Macros are used
- Name
- Parameter type
- Data
- is optional
- Optional parameter flag
- Parameter source dropdown - defaulted to From Model</t>
  </si>
  <si>
    <t>Parameter Source
- From Model; Set Default; Set Fixed</t>
  </si>
  <si>
    <t>Optional Param model 
- Is optional checked
- Optional parameter flag text field</t>
  </si>
  <si>
    <t>test_is_optional_field_for_protocols.py</t>
  </si>
  <si>
    <t>If a value is added to Data field for a model data name, switching Param source from Set Default or Set Fixed to From Model should displays a message
&lt;variable_name&gt;: Please clear data from parameter before changing the parameter source to 'From Model'</t>
  </si>
  <si>
    <t>Predictions</t>
  </si>
  <si>
    <t>Name (in Model), Display Name, Type, Decimal Places, Units, Delete</t>
  </si>
  <si>
    <t>Add another prediction
- Adds new row of predictions with default String type
- If name or display name is empty, following error is displayed "Prediction name and display name are required for predictions."
- All columns are text fields, expect for Type and Decimal Places
- Click Delete icon to remove a prediction row</t>
  </si>
  <si>
    <t>Types
- String
- Real =&gt; Decimal Places (default 2); Units
- Integer =&gt; Units
- Boolean
- Image (e.g. .png, .jpg)
- Other (e.g. .pdf, .zip)
- Date (Expected date format yyyy-MM-dd)
- Date-Time (Expected date format yyyy-MM-dd HH:mm:ss)</t>
  </si>
  <si>
    <t>SS-30207</t>
  </si>
  <si>
    <t>3D Structure - Defaulted to Other
- Second dropdown - Target/Antigen; Ligand/Biologic; Animation; Other
- New 3D Group Column in Predictions</t>
  </si>
  <si>
    <t>Buttons</t>
  </si>
  <si>
    <t>Archive button should be disabled if unarchived dependent model exists</t>
  </si>
  <si>
    <t>Clear model results from protocol page</t>
  </si>
  <si>
    <t>Duplicate button should duplicate the protocol preserve all data except name</t>
  </si>
  <si>
    <t>Add Model button should redirect to Add Model page with protocol name as parent</t>
  </si>
  <si>
    <t>New Protocol - Cancel/Continue Buttons</t>
  </si>
  <si>
    <t xml:space="preserve">Edit Existing Protocol - Cancel / Save and continue editing / Save buttons </t>
  </si>
  <si>
    <t>If any of the required fields are empty, hovering over the "Continue", "Save and continue editing" and "Save" button displays the corresponding error message in a tooltip
- Metadata fields (Name, Description, Projects, Batch Size)
- No/Empty Command field
- Predictions Name column fields</t>
  </si>
  <si>
    <t>User Roles</t>
  </si>
  <si>
    <t>Creating/Editing Protocol
- Server Admin
- Protocol Builder</t>
  </si>
  <si>
    <t>Non-Admin user cannot create/edit protocols
- Add a new protocol button won't be displayed
- Can see only protocols in project on which user have access (User project access == Protocol Chosen projects)
- Accessing existing protocols as non admin user displays "Viewing in read-only mode. Only Admins and model author may edit this." briefly.
- Metadata fields are not editable.
- Hovering over "Save and continue editing" or "Save" button displays tooltip with following message "Current logged in user can't edit this model."</t>
  </si>
  <si>
    <t>test_check_user_with_User_role_dont_have_access_protocol_methods.py</t>
  </si>
  <si>
    <r>
      <rPr>
        <rFont val="Arial"/>
      </rPr>
      <t xml:space="preserve">LDClient Improvement </t>
    </r>
    <r>
      <rPr>
        <rFont val="Arial"/>
        <color rgb="FF1155CC"/>
        <u/>
      </rPr>
      <t>SS-42328</t>
    </r>
  </si>
  <si>
    <t>Misc &amp; FFs</t>
  </si>
  <si>
    <t>Protocol Command, Protocol Predictions should be carried forward to models page (Note: Changes in predictions don't reflect in already existing child model)</t>
  </si>
  <si>
    <t>test_update_protocol_changes_dependent_models.py</t>
  </si>
  <si>
    <t>LDIDEAS-4204</t>
  </si>
  <si>
    <t>Conflicting parameter source for protocols and models should show a warning message
(Failed to save model: Model cannot be saved, because it would overwrite a READ_ONLY ('Set Fixed') parameter on the parent protocol, possibly due to the parent protocol changing)</t>
  </si>
  <si>
    <t>SS-27900</t>
  </si>
  <si>
    <t>UNAGGREGATED_MODEL_PROTOCOLS along with UNAGGREGATE_ALL_POSE_LEVEL_MODEL_RESULTS</t>
  </si>
  <si>
    <t>SS-31568
SS-37758</t>
  </si>
  <si>
    <t>"REVERSE_SORT_MODEL_PROTOCOLS" to test most negative scores first on glide model</t>
  </si>
  <si>
    <t>SS-39610</t>
  </si>
  <si>
    <t>Models</t>
  </si>
  <si>
    <t>Admin panel UI</t>
  </si>
  <si>
    <t>Clear Results for Selected Models: test clearing 
re-running all results 
and failed results (both auto-rerun)</t>
  </si>
  <si>
    <t>LDADMIN-1606</t>
  </si>
  <si>
    <t>Model Description, Sorted list of protocols</t>
  </si>
  <si>
    <t>Model description shows in model details page (link provided from model detail page to protocol)</t>
  </si>
  <si>
    <t xml:space="preserve">Available projects in models should map to 
Chosen Projects in Protocols </t>
  </si>
  <si>
    <t>test_project_access_for_models.py</t>
  </si>
  <si>
    <t>Model data: Test that files are downloadable</t>
  </si>
  <si>
    <t>SS-30865</t>
  </si>
  <si>
    <t>Test command_type for models</t>
  </si>
  <si>
    <r>
      <rPr>
        <rFont val="Arial"/>
        <color rgb="FF38761D"/>
        <u/>
      </rPr>
      <t xml:space="preserve">test_model_command_type.py
</t>
    </r>
    <r>
      <rPr>
        <rFont val="Arial"/>
        <color rgb="FF1155CC"/>
        <u/>
      </rPr>
      <t xml:space="preserve">
</t>
    </r>
    <r>
      <rPr>
        <rFont val="Arial"/>
        <color rgb="FF38761D"/>
        <u/>
      </rPr>
      <t>test_update_model_command.py</t>
    </r>
  </si>
  <si>
    <t>Model predictions: Test by changing return type</t>
  </si>
  <si>
    <t>test_protocol_model_predictions.py</t>
  </si>
  <si>
    <t>SS-30561</t>
  </si>
  <si>
    <t>Quick Test a model</t>
  </si>
  <si>
    <t>User story</t>
  </si>
  <si>
    <t>Check TE page</t>
  </si>
  <si>
    <t>SS-30253</t>
  </si>
  <si>
    <t>Quick test : Try with different SMILES</t>
  </si>
  <si>
    <t>SS-30068</t>
  </si>
  <si>
    <t>New Model: Continue button instead or "Save and Continue"</t>
  </si>
  <si>
    <r>
      <rPr>
        <color rgb="FF38761D"/>
        <u/>
      </rPr>
      <t>test_non_existent_model_object_and_id_by_name.py</t>
    </r>
    <r>
      <rPr>
        <color rgb="FF38761D"/>
      </rPr>
      <t xml:space="preserve">
</t>
    </r>
    <r>
      <rPr>
        <color rgb="FF000000"/>
      </rPr>
      <t xml:space="preserve">
</t>
    </r>
    <r>
      <rPr>
        <color rgb="FF38761D"/>
        <u/>
      </rPr>
      <t>test_multiple_models_object_and_id_by_name.py</t>
    </r>
    <r>
      <rPr>
        <color rgb="FF38761D"/>
      </rPr>
      <t xml:space="preserve">
</t>
    </r>
    <r>
      <rPr>
        <color rgb="FF000000"/>
        <u/>
      </rPr>
      <t xml:space="preserve">
</t>
    </r>
    <r>
      <rPr>
        <color rgb="FF38761D"/>
        <u/>
      </rPr>
      <t>test_unique_model_object_and_id_by_name.py</t>
    </r>
  </si>
  <si>
    <t xml:space="preserve">Cancel Button on Model creation page or Existing Model Page </t>
  </si>
  <si>
    <t>Archive a Model/ accessing archived model</t>
  </si>
  <si>
    <t>SS-41258</t>
  </si>
  <si>
    <t xml:space="preserve">edit a model </t>
  </si>
  <si>
    <t>test_models.py</t>
  </si>
  <si>
    <t>SS-32094</t>
  </si>
  <si>
    <t>Parameterized Model page</t>
  </si>
  <si>
    <t>Create a parameterized model and ensure they show up in the LR</t>
  </si>
  <si>
    <t>Ensure all created Models show up in the D&amp;C tree</t>
  </si>
  <si>
    <t>General (use *_QA models)</t>
  </si>
  <si>
    <t>Add it to the LR</t>
  </si>
  <si>
    <t>test_add_model_column_to_lr</t>
  </si>
  <si>
    <r>
      <rPr>
        <color rgb="FF38761D"/>
        <u/>
      </rPr>
      <t xml:space="preserve">test_models_by_column_id.py
</t>
    </r>
    <r>
      <rPr>
        <color rgb="FF1155CC"/>
        <u/>
      </rPr>
      <t xml:space="preserve">
</t>
    </r>
    <r>
      <rPr>
        <color rgb="FF38761D"/>
        <u/>
      </rPr>
      <t>test_add_model_columns_to_lr.py</t>
    </r>
  </si>
  <si>
    <t>AUTO_PASS</t>
  </si>
  <si>
    <t>Test any model added to LR must register a task</t>
  </si>
  <si>
    <t>Make changes to these models, and ensure they are reflected</t>
  </si>
  <si>
    <t>SS-30355</t>
  </si>
  <si>
    <t>Duplicate LR with models (Check param unpublished 3D models)</t>
  </si>
  <si>
    <t>SS-29979</t>
  </si>
  <si>
    <t>Check model results in new columns in LRs</t>
  </si>
  <si>
    <t>Test 3d and generic entity model return columns</t>
  </si>
  <si>
    <t>test_model_with_ligand_return.py</t>
  </si>
  <si>
    <t>SS-41910</t>
  </si>
  <si>
    <t xml:space="preserve">Test CTR 3D Viz model in the LR </t>
  </si>
  <si>
    <t>Test 3D model with .maegz return</t>
  </si>
  <si>
    <t>LDIDEAS-5023
LDIDEAS-4204</t>
  </si>
  <si>
    <t>Create a image and attachment model and download the image/attachment from LR</t>
  </si>
  <si>
    <t>test_model_template_vars.py</t>
  </si>
  <si>
    <t>Create a Model (with input file or input value)</t>
  </si>
  <si>
    <t>test_default_tags_and_inheritance_for_models.py</t>
  </si>
  <si>
    <t>editing project acls for models/protocols</t>
  </si>
  <si>
    <t>Edit batch size in Models and check TE page</t>
  </si>
  <si>
    <t>test_model_with_batch_size.py</t>
  </si>
  <si>
    <t>Test models that uses ORIG-SDF argument in the command</t>
  </si>
  <si>
    <t>For ease search in columns tree for ORIG</t>
  </si>
  <si>
    <t>Test Model column tooltip</t>
  </si>
  <si>
    <t>SS-40775</t>
  </si>
  <si>
    <t xml:space="preserve">Trigger a model that will fail, and check for the ' -' sign in the grid. 
Fix the model if possible and ensure results show up. </t>
  </si>
  <si>
    <t>Clustering models</t>
  </si>
  <si>
    <t>SS-30892</t>
  </si>
  <si>
    <t xml:space="preserve">Add a compound and check model recalculates. </t>
  </si>
  <si>
    <t>test_rerun_model_from_column_dropdown</t>
  </si>
  <si>
    <t>QA-3180</t>
  </si>
  <si>
    <t>AUTO_SKIP</t>
  </si>
  <si>
    <r>
      <rPr>
        <rFont val="Arial"/>
        <b/>
        <color rgb="FF172B4D"/>
        <sz val="10.0"/>
      </rPr>
      <t xml:space="preserve">PREVENT_TASK_CORPORATE_ID_METADATA_FOR_CLUSTERING_MODELS
</t>
    </r>
    <r>
      <rPr>
        <rFont val="Arial"/>
        <b val="0"/>
        <color rgb="FF172B4D"/>
        <sz val="10.0"/>
      </rPr>
      <t>1. when the property key is set as True &amp; the model is Clustering, the Corporate IDs aren't submitted to the Admin Panel(task page). A desired `-` appears in the Corporate Ids column.
2. when the property key is set as False &amp; the model is clustering, the corporate IDs do show up in the Admin panel tasks page.
3. Test the above with different users.</t>
    </r>
  </si>
  <si>
    <t>SS-36384</t>
  </si>
  <si>
    <t>Duplicate an LR with a clustering model</t>
  </si>
  <si>
    <t>Param Models</t>
  </si>
  <si>
    <t>Check Param model dialog box UI</t>
  </si>
  <si>
    <t>test_add_model_columns_to_lr.py</t>
  </si>
  <si>
    <t>Add Param models as SimpleUser/ProjectAdmin</t>
  </si>
  <si>
    <t>SS-32807</t>
  </si>
  <si>
    <t>basic - file input</t>
  </si>
  <si>
    <t>text input</t>
  </si>
  <si>
    <t>column and multicolumn input</t>
  </si>
  <si>
    <t>SS-27849</t>
  </si>
  <si>
    <t xml:space="preserve">Create an automatically rerun param model from a FFC, then edit the FFC: 
ensure that the model recalculates </t>
  </si>
  <si>
    <t>Add a CTR model and add a column-as-parameter model that uses an output column from the CTR model as an input to this LR (Set this model to run automatically)</t>
  </si>
  <si>
    <t>SS-40454</t>
  </si>
  <si>
    <t>Publish a param model: both from dialog and column
 dropdown (make public)</t>
  </si>
  <si>
    <t>Detailed error is shown when user tries to create published param model from unpublished data:
"Error creating/updating Parameterized Model : Published column as a parameter models are only permitted to use published columns as parameters."</t>
  </si>
  <si>
    <t>SS-35813</t>
  </si>
  <si>
    <t>Column details &amp; tooltip</t>
  </si>
  <si>
    <t>default input</t>
  </si>
  <si>
    <t>column input 3D as param
(use mmgbsa_QA model/non-covalent interaction_QA model)</t>
  </si>
  <si>
    <t>QA-3982</t>
  </si>
  <si>
    <t xml:space="preserve">use input 3D from maestro export (published/unpublished) 
as input for a param model </t>
  </si>
  <si>
    <t>Change 3D data (may be by modifying files from admin panel): 
Make sure that the 3D param model is also updated</t>
  </si>
  <si>
    <t>Add an unpublished Param docking model that outputs multiple scores and see its results; duplicate the LR (the values shouldn't be ordered differently)</t>
  </si>
  <si>
    <t>SS-41233</t>
  </si>
  <si>
    <t>Duplicate an LR with 3D input param model and add compounds to check calculation of the param model</t>
  </si>
  <si>
    <t>SS-32723</t>
  </si>
  <si>
    <t>Create Param model with Parameter from Picklist</t>
  </si>
  <si>
    <r>
      <rPr>
        <rFont val="Arial"/>
        <color rgb="FF000000"/>
      </rPr>
      <t>Allow Optional Parameter for Model</t>
    </r>
    <r>
      <rPr>
        <rFont val="Arial"/>
        <color rgb="FF000000"/>
      </rPr>
      <t xml:space="preserve">  </t>
    </r>
  </si>
  <si>
    <t>Test models set with optional parameter, with and without the optional param</t>
  </si>
  <si>
    <t>test_is_optional_field_for_models.py</t>
  </si>
  <si>
    <t>QA-4333</t>
  </si>
  <si>
    <t>CTR Models</t>
  </si>
  <si>
    <t>Add a CTR model to LR and execute it.</t>
  </si>
  <si>
    <t>Add a CTR Param model</t>
  </si>
  <si>
    <t>SS-30510</t>
  </si>
  <si>
    <t>Select multiple compounds and run the model</t>
  </si>
  <si>
    <t>Select all compounds from grid and run or 
use the run for all selected rows checkbox</t>
  </si>
  <si>
    <t xml:space="preserve">Duplicate a LR (or copy across projects)
 with CTR models </t>
  </si>
  <si>
    <t>Register a Virtual on unrestricted and register the same as real in restricted project and recalculate a CTR model</t>
  </si>
  <si>
    <r>
      <rPr>
        <color rgb="FF1155CC"/>
        <u/>
      </rPr>
      <t xml:space="preserve">LDADMIN-612
</t>
    </r>
    <r>
      <rPr>
        <color rgb="FF000000"/>
      </rPr>
      <t>Recalc will not pend instead it will display the original run results, refreshing LR, switches the cell back to display RUN button</t>
    </r>
  </si>
  <si>
    <t>Realtime Models</t>
  </si>
  <si>
    <t>Add a Realtime Model to the LR</t>
  </si>
  <si>
    <t>test_run_models_real_time.py</t>
  </si>
  <si>
    <t>Ensure Realtime models show up in the 
Preview Properties section below the sketcher</t>
  </si>
  <si>
    <t>PREVIEW_PROPERTIES_BY_DEFAULT FF to control whether the 'Preview Properties' is on or off by default</t>
  </si>
  <si>
    <t>SS-33396</t>
  </si>
  <si>
    <t>Change Model type from Normal --&gt; Realtime,
 ensure preview properties show up</t>
  </si>
  <si>
    <t>SS-30027</t>
  </si>
  <si>
    <t>Generic Entity Models</t>
  </si>
  <si>
    <t>Have model with  ${ENTITY-FILE} run for entities: Check Admin panel commands section</t>
  </si>
  <si>
    <t>GE Models expected behavior</t>
  </si>
  <si>
    <r>
      <rPr>
        <rFont val="Arial"/>
        <color theme="1"/>
      </rPr>
      <t xml:space="preserve">Doesn’t contain ${ENTITY-FILE}
</t>
    </r>
    <r>
      <rPr>
        <rFont val="Arial"/>
        <i/>
        <color theme="1"/>
      </rPr>
      <t xml:space="preserve">(So it contains either ${SDF-FILE}, ${ORIG-SDF-FILE}) </t>
    </r>
    <r>
      <rPr>
        <rFont val="Arial"/>
        <color theme="1"/>
      </rPr>
      <t>on</t>
    </r>
    <r>
      <rPr>
        <rFont val="Arial"/>
        <i/>
        <color theme="1"/>
      </rPr>
      <t xml:space="preserve"> </t>
    </r>
    <r>
      <rPr>
        <rFont val="Arial"/>
        <color theme="1"/>
      </rPr>
      <t xml:space="preserve">protocol </t>
    </r>
    <r>
      <rPr>
        <rFont val="Arial"/>
        <i/>
        <color theme="1"/>
      </rPr>
      <t xml:space="preserve">+ 
</t>
    </r>
    <r>
      <rPr>
        <rFont val="Arial"/>
        <color theme="1"/>
      </rPr>
      <t>Contain</t>
    </r>
    <r>
      <rPr>
        <rFont val="Arial"/>
        <b/>
        <i/>
        <color theme="1"/>
      </rPr>
      <t xml:space="preserve"> </t>
    </r>
    <r>
      <rPr>
        <rFont val="Arial"/>
        <color theme="1"/>
      </rPr>
      <t>Compounds in LR</t>
    </r>
  </si>
  <si>
    <t>Doesn’t contain ${ENTITY-FILE} + 
Contain Generic Entities in LR</t>
  </si>
  <si>
    <t>GEs are sent as empty structures in the input.sdf file
Result in LR will be model dependent</t>
  </si>
  <si>
    <t>Doesn’t contain ${ENTITY-FILE} + 
Contain both Compounds and Generic Entities in LR</t>
  </si>
  <si>
    <t>Contains only ${ENTITY-FILE} +
Contain Compounds in LR</t>
  </si>
  <si>
    <t>Contains only ${ENTITY-FILE} + 
Contain Generic Entities in LR</t>
  </si>
  <si>
    <t>Example model: helm files</t>
  </si>
  <si>
    <t>Contains only ${ENTITY-FILE} +
Contain Generic entities with file attached</t>
  </si>
  <si>
    <t>Example model: cif</t>
  </si>
  <si>
    <t>Contains only ${ENTITY-FILE} + 
Contain both Compounds and Generic Entities in LR</t>
  </si>
  <si>
    <t>Contains both  ${ENTITY-FILE} and either of the SDF macros +
Contain Compounds in LR</t>
  </si>
  <si>
    <t>Contains both  ${ENTITY-FILE} and either of the SDF macros + 
Contain Generic Entities in LR</t>
  </si>
  <si>
    <t>Contains both  ${ENTITY-FILE} and either of the SDF macros + 
Contain both Compounds and Generic Entities in LR</t>
  </si>
  <si>
    <t>Contains both  ${ENTITY-FILE} and either of the SDF macros +
Generic Entities without files and Blinded compounds in LR</t>
  </si>
  <si>
    <t>Contains both  ${ENTITY-FILE} and either of the SDF macros +
Large number of compounds and Generic Entities (with files)</t>
  </si>
  <si>
    <t>3D model returns (3D Structure &gt; Other type prediction)</t>
  </si>
  <si>
    <t>Recalculate Models</t>
  </si>
  <si>
    <t>New Recalculate Model UI (only applies to Manually rerun models)</t>
  </si>
  <si>
    <r>
      <rPr>
        <color rgb="FF1155CC"/>
        <u/>
      </rPr>
      <t xml:space="preserve">User story
</t>
    </r>
    <r>
      <rPr>
        <color rgb="FF000000"/>
        <u/>
      </rPr>
      <t xml:space="preserve">Only for models set to run manually from Admin panel. For ease use the models under the "manuallyrerunmodels"
</t>
    </r>
    <r>
      <rPr>
        <color rgb="FF1155CC"/>
        <u/>
      </rPr>
      <t>SS-42419</t>
    </r>
    <r>
      <rPr>
        <color rgb="FF1155CC"/>
        <u/>
      </rPr>
      <t xml:space="preserve"> - Long named models dialog weirdness</t>
    </r>
  </si>
  <si>
    <t xml:space="preserve">Test Recalculation for models rerun: 1. Automatic, 2. Manually and 3. Defered to Parent </t>
  </si>
  <si>
    <t>test_model_automatic_rerun.py</t>
  </si>
  <si>
    <t>Changes in column-as-input param model cells should reflect in cells and Recalculate model tooltip</t>
  </si>
  <si>
    <t>SS-31499</t>
  </si>
  <si>
    <t>Cell should pend on recalculation</t>
  </si>
  <si>
    <t>SS-30659</t>
  </si>
  <si>
    <t>Recalculate a normal model (including 3D Viz model) and monitor TE</t>
  </si>
  <si>
    <t>SS-30694</t>
  </si>
  <si>
    <t>Archived models shouldn't recalculate</t>
  </si>
  <si>
    <t>SS-32819</t>
  </si>
  <si>
    <t>Recalculate a Param model</t>
  </si>
  <si>
    <t xml:space="preserve">Recalculate a CTR model </t>
  </si>
  <si>
    <t>SS-30760</t>
  </si>
  <si>
    <t>Recalculate a realtime model</t>
  </si>
  <si>
    <t>Recalculate an already run model and edit the model while its running</t>
  </si>
  <si>
    <t>LDGRID-166: Tasks showing as failed in LiveDesign UI but Task completed in task page/has populated results.csv: AZ prod</t>
  </si>
  <si>
    <t>Recalculate a Clustering model: Recalculate option in grid now appears for all compounds/entities for clustering model column</t>
  </si>
  <si>
    <t>Miscalleneous</t>
  </si>
  <si>
    <t>Change parent protocol for Model</t>
  </si>
  <si>
    <t>test_update_model_parent.py</t>
  </si>
  <si>
    <t>R-groups</t>
  </si>
  <si>
    <t>test_apply_models_to_rgroups</t>
  </si>
  <si>
    <t>AUTO_XPASS</t>
  </si>
  <si>
    <t>Tahs and inheritance (can only test via API)</t>
  </si>
  <si>
    <t>test_model_tags_inheritance.py</t>
  </si>
  <si>
    <t>Sketch new novel virtuals and reals, run different models against them</t>
  </si>
  <si>
    <t>LDIMPORT-546</t>
  </si>
  <si>
    <t>Test working _QA versions of all Tier 1 Protocols</t>
  </si>
  <si>
    <t>LR Link</t>
  </si>
  <si>
    <t>Percentage Complete</t>
  </si>
  <si>
    <t>Firefox</t>
  </si>
  <si>
    <t>PASS</t>
  </si>
  <si>
    <t>FAIL</t>
  </si>
  <si>
    <t>NOT TESTED</t>
  </si>
  <si>
    <t>BLANK</t>
  </si>
  <si>
    <t>Color Keys</t>
  </si>
  <si>
    <t>Statuses</t>
  </si>
  <si>
    <t>Anu</t>
  </si>
  <si>
    <t>Amrita</t>
  </si>
  <si>
    <t>Hannah</t>
  </si>
  <si>
    <t>NA</t>
  </si>
  <si>
    <t>Ivy</t>
  </si>
  <si>
    <t>Matt</t>
  </si>
  <si>
    <t>Broken</t>
  </si>
  <si>
    <t>Nitin</t>
  </si>
  <si>
    <t>Some problems</t>
  </si>
  <si>
    <t>Pankhuri</t>
  </si>
  <si>
    <t>All OK</t>
  </si>
  <si>
    <t>Rupal</t>
  </si>
  <si>
    <t>Ramakrishna</t>
  </si>
  <si>
    <t>Saheli</t>
  </si>
  <si>
    <t>Soumya</t>
  </si>
  <si>
    <t>Abdul</t>
  </si>
  <si>
    <t>Utkarsh</t>
  </si>
  <si>
    <t>Vishnu</t>
  </si>
  <si>
    <t>LD 2025-4 Pass 2 (StartDate: 23/Oct/2025) Build(#)</t>
  </si>
  <si>
    <t>MS Edge Status</t>
  </si>
  <si>
    <t>FireFox Status</t>
  </si>
  <si>
    <t>Chrome Status</t>
  </si>
  <si>
    <t>LD 2025-4 Pass 1 (StartDate: 22/Sep/2025) Build(#)</t>
  </si>
  <si>
    <t>Some problems (76%)</t>
  </si>
  <si>
    <t>test_create_protocol.py
test_get_and_verify_protocols_by_project_id.py
test_multiple_protocols_object_and_id_by_name.py
test_non_existent_protocol_object_and_id_by_name.py
test_unique_protocol_object_and_id_by_name.py</t>
  </si>
  <si>
    <t>LDADMIN-1387</t>
  </si>
  <si>
    <t>LIVEDESIGN-URL
- references "http://livedesign-internal/livedesign"</t>
  </si>
  <si>
    <t>LDClient Improvement SS-42328</t>
  </si>
  <si>
    <t>test_model_command_type.py
test_update_model_command.py</t>
  </si>
  <si>
    <t>test_non_existent_model_object_and_id_by_name.py
test_multiple_models_object_and_id_by_name.py
test_unique_model_object_and_id_by_name.py</t>
  </si>
  <si>
    <t>test_models_by_column_id.py
test_add_model_columns_to_lr.py</t>
  </si>
  <si>
    <t>PREVENT_TASK_CORPORATE_ID_METADATA_FOR_CLUSTERING_MODELS
1. when the property key is set as True &amp; the model is Clustering, the Corporate IDs aren't submitted to the Admin Panel(task page). A desired `-` appears in the Corporate Ids column.
2. when the property key is set as False &amp; the model is clustering, the corporate IDs do show up in the Admin panel tasks page.
3. Test the above with different users.</t>
  </si>
  <si>
    <t xml:space="preserve">Allow Optional Parameter for Model  </t>
  </si>
  <si>
    <t>LDADMIN-612
Recalc will not pend instead it will display the original run results, refreshing LR, switches the cell back to display RUN button</t>
  </si>
  <si>
    <t>Doesn’t contain ${ENTITY-FILE}
(So it contains either ${SDF-FILE}, ${ORIG-SDF-FILE}) on protocol + 
Contain Compounds in LR</t>
  </si>
  <si>
    <t>User story
Only for models set to run manually from Admin panel. For ease use the models under the "manuallyrerunmodels"
SS-42419 - Long named models dialog weirdness</t>
  </si>
  <si>
    <t>Total Cases = 153</t>
  </si>
  <si>
    <t>LD 2025-4 Pass 2 (StartDate: 23/Oct/2025)</t>
  </si>
  <si>
    <t>LD 2025-3 Pass 2 (StartDate: 21/Jul/2025) Build(#)</t>
  </si>
  <si>
    <t>LD 2025-3 Pass 1 (StartDate: 17/Jun/2025) Build(#)</t>
  </si>
  <si>
    <t>In Progress (76%)</t>
  </si>
  <si>
    <t>Naga Lakshmi</t>
  </si>
  <si>
    <t>LDADMIN-967</t>
  </si>
  <si>
    <t>LDADMIN-894</t>
  </si>
  <si>
    <t>LD 2025-3 Pass 2 (StartDate: 21/Jul/2025)</t>
  </si>
  <si>
    <t>LD 2025-2 Pass 2 (StartDate: 24/Apr/2025) Build(#)</t>
  </si>
  <si>
    <t>LD 2025-2 Pass 1 (StartDate: 24/Mar/2025) Build(#)</t>
  </si>
  <si>
    <t>In Progress (57%)</t>
  </si>
  <si>
    <t>LDADMIN-789
LDADMIN-598
LDADMIN-823
LDGRID-1003</t>
  </si>
  <si>
    <t>test_add_model_column_to_lr.py</t>
  </si>
  <si>
    <t>test_rerun_model_from_column_dropdown.py</t>
  </si>
  <si>
    <t>LDGRID-1009</t>
  </si>
  <si>
    <t>test_apply_models_to_rgroups.py</t>
  </si>
  <si>
    <t>Total Cases = 152</t>
  </si>
  <si>
    <t>LD 2025-2 Pass 2 (StartDate: 24/Apr/2025)</t>
  </si>
  <si>
    <t>LD 2025-1 Pass 2 (StartDate: 03/Feb/2025) Build(#)</t>
  </si>
  <si>
    <t>LD 2025-1 Pass 1 (StartDate: 15/Jan/2025) Build(#)</t>
  </si>
  <si>
    <t>In Progress (6%)</t>
  </si>
  <si>
    <t>Protocols</t>
  </si>
  <si>
    <t>Protocol page UI</t>
  </si>
  <si>
    <t>Cannot create Protocol with non-admin user</t>
  </si>
  <si>
    <t>Protocol: Command Queue and Command Type (Execution options)</t>
  </si>
  <si>
    <t>test_model_command_type_independent_of_protocols.py
test_get_and_verify_async_drivers_and_async_driver.py</t>
  </si>
  <si>
    <t>Add a new Protocol, Edit an existing Protocol</t>
  </si>
  <si>
    <t>test optional param for protocol</t>
  </si>
  <si>
    <t>Protocol Command, Protocol Predictions should be 
carried forward to models page 
(Note: Changes in predictions don't reflect in already existing child model)</t>
  </si>
  <si>
    <t>Test LIST-INPUT in command for parameter picklist (and test "Allow multiple input" checkbox)</t>
  </si>
  <si>
    <t>Model link</t>
  </si>
  <si>
    <t>Test other macros like COLUMN_INPUT</t>
  </si>
  <si>
    <t>Model Data Section</t>
  </si>
  <si>
    <t>Decimal places option only for Real</t>
  </si>
  <si>
    <t>Archive a Protocol/ Add a dependent model</t>
  </si>
  <si>
    <t>Date/Date-time predictions</t>
  </si>
  <si>
    <t>Archiving a protocol should be disabled
 if unarchived Models exist</t>
  </si>
  <si>
    <t>Clear model results from protocol details page</t>
  </si>
  <si>
    <t>Show protocol/model owner on the protocol/model details page</t>
  </si>
  <si>
    <t>Last modified columns in the models/protocols listing pages in the admin panel</t>
  </si>
  <si>
    <t>Conflicting parameter source for protocols and models
 should show a warning message
(Failed to save model: Model cannot be saved, because it would overwrite a READ_ONLY ('Set Fixed') parameter on the parent protocol, possibly due to the parent protocol changing)</t>
  </si>
  <si>
    <t>FF properties &amp; others</t>
  </si>
  <si>
    <t>Duplicate protocols and models</t>
  </si>
  <si>
    <t>User Story</t>
  </si>
  <si>
    <t>Test LD Admin Feature property UNAGGREGATED_MODEL_PROTOCOLS along with FF UNAGGREGATE_ALL_POSE_LEVEL_MODEL_RESULTS</t>
  </si>
  <si>
    <t>Check FF "REVERSE_SORT_MODEL_PROTOCOLS" to test most negative scores first on glide model</t>
  </si>
  <si>
    <t>Protocol description shows in model details page (link provided for Admins from model detail page to protocol)</t>
  </si>
  <si>
    <t xml:space="preserve">Cancel Button on Model/Protocol creation page or Existing Model/protocol Page </t>
  </si>
  <si>
    <t>Total Cases = 115</t>
  </si>
  <si>
    <t>LD 2025-1 Pass 2 (StartDate: 03/Feb/2025)</t>
  </si>
  <si>
    <t>LD 2024-4 Pass 2 (StartDate: 22/Oct/2024) Build(#)</t>
  </si>
  <si>
    <t>LD 2024-4 Pass 1 (StartDate: 16/Sept/2024) Build(#)</t>
  </si>
  <si>
    <t>Some problems (85%)</t>
  </si>
  <si>
    <t>LDADMIN-42</t>
  </si>
  <si>
    <t>LDADMIN-177</t>
  </si>
  <si>
    <t>LDADMIN-37</t>
  </si>
  <si>
    <t>Total Cases = 114</t>
  </si>
  <si>
    <t>LD 2024-4 Pass 2 (StartDate: 22/Oct/2024)</t>
  </si>
  <si>
    <t>LD 2024-3 Pass 3 (StartDate: 29/July/2024) Build(#)</t>
  </si>
  <si>
    <t>LD 2024-3 Pass 2 (StartDate: 09/July/2024) Build(#)</t>
  </si>
  <si>
    <t>LD 2024-3 Pass 1 (StartDate: 18/Jun/2024) Build(#)</t>
  </si>
  <si>
    <t>Some problems (100%)</t>
  </si>
  <si>
    <t>test_model_command_type_independent_of_protocols.py</t>
  </si>
  <si>
    <t>SS-47634</t>
  </si>
  <si>
    <t>SS-44502</t>
  </si>
  <si>
    <t>test_model_command_type.py</t>
  </si>
  <si>
    <t>SS-48001</t>
  </si>
  <si>
    <t>test_models_by_column_id.py
test_add_model_columns_to_lr.py</t>
  </si>
  <si>
    <t>SS-46000</t>
  </si>
  <si>
    <t>Total Cases = 111</t>
  </si>
  <si>
    <t>LD 2024-3 Pass 3 (StartDate: 29/July/2024)</t>
  </si>
  <si>
    <t>LD 2024-2 Pass 2 (StartDate: 14/May/2024) Build(#)</t>
  </si>
  <si>
    <t>LD 2024-2 Pass 1 (StartDate: 08/March/2024) Build(#)</t>
  </si>
  <si>
    <t>SS-43214</t>
  </si>
  <si>
    <t>SS-44317</t>
  </si>
  <si>
    <t>Conflicting parameter source for protocols and models
 should show a warning message</t>
  </si>
  <si>
    <t>LDIDEAS-5023</t>
  </si>
  <si>
    <t>Total Cases = 96</t>
  </si>
  <si>
    <t>LD 2024-2 Pass 2 (StartDate: 14/May/2024)</t>
  </si>
  <si>
    <t>LD 2024-1 Pass 3 (StartDate: 6/Feb/2024) Build(#)</t>
  </si>
  <si>
    <t>LD 2024-1 Pass 2 (StartDate: 3/Jan/2023) Build(#)</t>
  </si>
  <si>
    <t>LD 2024-1 Pass 1 (StartDate: 28/Nov/2023) Build(#)</t>
  </si>
  <si>
    <t>SS-42328</t>
  </si>
  <si>
    <t>SS-44323</t>
  </si>
  <si>
    <t>SS-44822</t>
  </si>
  <si>
    <t>SS-42932</t>
  </si>
  <si>
    <t>SS-44227</t>
  </si>
  <si>
    <t>SS-43502
SS-43989</t>
  </si>
  <si>
    <t>LDIDEAS-5032</t>
  </si>
  <si>
    <t>SS-44318</t>
  </si>
  <si>
    <t>User story
Only for models set to run manually from Admin panel. For ease use the models under the "manuallyrerunmodels"</t>
  </si>
  <si>
    <t>SS-42419</t>
  </si>
  <si>
    <t>SS-40911</t>
  </si>
  <si>
    <t>SS-40016</t>
  </si>
  <si>
    <t>LD 2024-1 Pass 3 (StartDate: 6/Feb/2024)</t>
  </si>
  <si>
    <t>LD 2023-4 Pass 3 (StartDate: 31/Oct/2023) Build(#)</t>
  </si>
  <si>
    <t>LD 2023-4 Pass 2 (StartDate: 16/Oct/2023) Build(#)</t>
  </si>
  <si>
    <t>LD 2023-4 Pass 1 (StartDate: 25/Sept/2023) Build(#)</t>
  </si>
  <si>
    <t>Some problems (87%)</t>
  </si>
  <si>
    <t>Prachi</t>
  </si>
  <si>
    <t>Create Protocol with non-admin user</t>
  </si>
  <si>
    <t>SS-42719</t>
  </si>
  <si>
    <t>SS-41258
SS-44193</t>
  </si>
  <si>
    <t>SS-40968</t>
  </si>
  <si>
    <t>Detailed error is shown when user tries to create published param model from unpublished data:
"Error creating Parameterized Model : Published column as a parameter models are only permitted to use published columns as parameters."</t>
  </si>
  <si>
    <t>SS-43321</t>
  </si>
  <si>
    <t>SS-43495</t>
  </si>
  <si>
    <t>SS-44003</t>
  </si>
  <si>
    <t>SS-42510</t>
  </si>
  <si>
    <t>Total Cases = 95</t>
  </si>
  <si>
    <t>LD 2023-4 Pass 3 (StartDate: 31/Oct/2023)</t>
  </si>
  <si>
    <t>LD 2023-3 Pass 4 (StartDate: 31/Aug/2023) Build(#)</t>
  </si>
  <si>
    <t>LD 2023-3 Pass 3 (StartDate: 31/July/2023) Build(#)</t>
  </si>
  <si>
    <t>LD 2023-3 Pass 2 (StartDate: 10/July/2023) Build(#)</t>
  </si>
  <si>
    <t>LD 2023-3 Pass 1 (StartDate: 22/June/2023) Build(#)</t>
  </si>
  <si>
    <t>Some problems (99%)</t>
  </si>
  <si>
    <t>SS-43266</t>
  </si>
  <si>
    <t>SS-42780</t>
  </si>
  <si>
    <t>SS-43502</t>
  </si>
  <si>
    <t>SS-42721</t>
  </si>
  <si>
    <t>Recalculate a Clustering model: Recalculate option in grid now appears for all compounds for clustering model column</t>
  </si>
  <si>
    <t>Total Cases = 90</t>
  </si>
  <si>
    <t>LD 2023-3 Pass 4 (StartDate: 31/Aug/2023)</t>
  </si>
  <si>
    <t>LD 2023-2 Pass 4 (StartDate: 10/May/2023) Build(#)</t>
  </si>
  <si>
    <t>LD 2023-2 Pass 3 (StartDate: 18/Apr/2023) Build(#)</t>
  </si>
  <si>
    <t>LD 2023-2 Pass 2 (StartDate: 03/Apr/2023) Build(#)</t>
  </si>
  <si>
    <t>LD 2023-2 Pass 1 (StartDate: 13/Mar/2023) Build(#)</t>
  </si>
  <si>
    <t>In Progress (82%)</t>
  </si>
  <si>
    <t>SS-41353</t>
  </si>
  <si>
    <t>SS-40654</t>
  </si>
  <si>
    <t>SS-40605</t>
  </si>
  <si>
    <t>SS-42283</t>
  </si>
  <si>
    <t>test_models_by_column_id.py</t>
  </si>
  <si>
    <t>Test 3d model return columns</t>
  </si>
  <si>
    <t>SS-41411</t>
  </si>
  <si>
    <t>SS-41961</t>
  </si>
  <si>
    <t>SS-42271</t>
  </si>
  <si>
    <t>SS-39747</t>
  </si>
  <si>
    <t>SS-36452</t>
  </si>
  <si>
    <t>SS-41208, SS-41961</t>
  </si>
  <si>
    <t>SS-41208</t>
  </si>
  <si>
    <t>Total Cases = 87</t>
  </si>
  <si>
    <t>LD 2023-2 Pass 4 (StartDate: 10/May/2023)</t>
  </si>
  <si>
    <t>LD 2023-1 Pass 3 (StartDate: 30/Jan/2022) Build(#)</t>
  </si>
  <si>
    <t>LD 2023-1 Pass 2 (StartDate: 10/Jan/2022) Build(#)</t>
  </si>
  <si>
    <t>LD 2023-1 Pass 1 (StartDate: 12/08/2022) Build(#)</t>
  </si>
  <si>
    <t>Some problems (94%)</t>
  </si>
  <si>
    <t>SS-40571</t>
  </si>
  <si>
    <t>SS-40134</t>
  </si>
  <si>
    <t>SS-40346</t>
  </si>
  <si>
    <t>SS-40250</t>
  </si>
  <si>
    <t>SS-34301</t>
  </si>
  <si>
    <t>SS-39298</t>
  </si>
  <si>
    <t>PREVIEW_PROPERTIES FF to control whether the 'Preview Properties' is on or off by default</t>
  </si>
  <si>
    <t>Total Cases = 83</t>
  </si>
  <si>
    <t>LD 2023-1 Pass 3 (StartDate: 30/Jan/2022)</t>
  </si>
  <si>
    <t>LD 2022-4 Pass 3 (StartDate: 11/14/2022) Build(#)</t>
  </si>
  <si>
    <t>LD 2022-4 Pass 2 (StartDate: 10/17/2022) Build(#)</t>
  </si>
  <si>
    <t>LD 2022-4 Pass 1 (StartDate: 09/26/2022) Build(#)</t>
  </si>
  <si>
    <t>Some problems (81%)</t>
  </si>
  <si>
    <t>Protocol Command, Protocol Predictions should be 
carried forward to models page</t>
  </si>
  <si>
    <t>SS-39175</t>
  </si>
  <si>
    <t>SS-37791</t>
  </si>
  <si>
    <t>SS-39205</t>
  </si>
  <si>
    <t>SS-38974</t>
  </si>
  <si>
    <t>SS-38973</t>
  </si>
  <si>
    <t>SS-39892</t>
  </si>
  <si>
    <t>Test 3D Viz model in the LR (Realtime/Click to Run/Clustering)</t>
  </si>
  <si>
    <t>SS-39207</t>
  </si>
  <si>
    <t>SS-38704</t>
  </si>
  <si>
    <t>SS-36452, SS-38995</t>
  </si>
  <si>
    <t>Setup a Model ping scenario with the help of the attached doc and ensure that ping-pong of models is not triggered</t>
  </si>
  <si>
    <t>Model ping pong</t>
  </si>
  <si>
    <t>LD 2022-4 Pass 3 (StartDate: 11/14/2022)</t>
  </si>
  <si>
    <t>LD 2022-3 Pass 5 (StartDate: 09/05/2022) Build(#)</t>
  </si>
  <si>
    <t>LD 2022-3 Pass 4 (StartDate: 08/08/2022) Build(#)</t>
  </si>
  <si>
    <t>LD 2022-3 Pass 3 (StartDate: 07/18/2022) Build(#)</t>
  </si>
  <si>
    <t>LD 2022-3 Pass 2 (StartDate: 06/28/2022) Build(#)</t>
  </si>
  <si>
    <t>LD 2022-3 Pass 1 (StartDate: 06/07/2022) Build(#)</t>
  </si>
  <si>
    <t>In Progress (49%)</t>
  </si>
  <si>
    <t>Sriram</t>
  </si>
  <si>
    <t>SS-37702</t>
  </si>
  <si>
    <t>SS-37512</t>
  </si>
  <si>
    <t>SS-37900</t>
  </si>
  <si>
    <t>Test LIST-INPUT in command for parameter picklist ( and check "Allow multiple input" checkbox)</t>
  </si>
  <si>
    <t>SS-37788, SS-38031</t>
  </si>
  <si>
    <t>SS-36494</t>
  </si>
  <si>
    <t>SS-38280</t>
  </si>
  <si>
    <t>SS-38230</t>
  </si>
  <si>
    <t>SS-38344</t>
  </si>
  <si>
    <t>SS-38356</t>
  </si>
  <si>
    <t>multicolumn input</t>
  </si>
  <si>
    <t>SS-36452, SS-35169</t>
  </si>
  <si>
    <t>SS-37877</t>
  </si>
  <si>
    <t>SS-38839</t>
  </si>
  <si>
    <t>SS-36623</t>
  </si>
  <si>
    <t>N/A</t>
  </si>
  <si>
    <t>SS-38526</t>
  </si>
  <si>
    <t>SS-37415</t>
  </si>
  <si>
    <t>SS-35200</t>
  </si>
  <si>
    <t>Recalculate a Clustering model</t>
  </si>
  <si>
    <t>LD 2022-3 Pass 5 (StartDate: 09/05/2022)</t>
  </si>
  <si>
    <t>LD 2022-2 Pass 2 (StartDate: 05/02/2022) Build(#)</t>
  </si>
  <si>
    <t>LD 2022-2 Pass 1 (StartDate: 04/04/2022) Build(#)</t>
  </si>
  <si>
    <t>SS-37539</t>
  </si>
  <si>
    <t>Test LIST-INPUT in command for parameter picklist</t>
  </si>
  <si>
    <t>Archive a Protocol/ Add a dependent model/ History tab</t>
  </si>
  <si>
    <t>SS-36988</t>
  </si>
  <si>
    <t>Test LD Admin Feature property UNAGGREGATED_MODEL_PROTOCOLS</t>
  </si>
  <si>
    <t>SS-31568</t>
  </si>
  <si>
    <t>SS-36989</t>
  </si>
  <si>
    <t>SS-36488</t>
  </si>
  <si>
    <t>SS-37382</t>
  </si>
  <si>
    <t>Create a parameterized model depending on 
a clustering model</t>
  </si>
  <si>
    <t>SS-30989</t>
  </si>
  <si>
    <t>SS-34036</t>
  </si>
  <si>
    <t>SS-38016</t>
  </si>
  <si>
    <t>SS-36623, SS-37336</t>
  </si>
  <si>
    <t>SS-37453</t>
  </si>
  <si>
    <t>test_update_model_parent.pyy</t>
  </si>
  <si>
    <t>Total Cases = 84</t>
  </si>
  <si>
    <t>LD 2022-2 Pass 2 (StartDate: 05/02/2022)</t>
  </si>
  <si>
    <t>Gourav</t>
  </si>
  <si>
    <t>Kavya</t>
  </si>
  <si>
    <t>Not Tested Final</t>
  </si>
  <si>
    <t>None</t>
  </si>
  <si>
    <t>LD 9-1 Pass 2 (StartDate: 02/02/2022) Build(#)</t>
  </si>
  <si>
    <t>LD 9-1 Pass 1 (StartDate: 12/06/2021) Build(#)</t>
  </si>
  <si>
    <t>Some problems (95%)</t>
  </si>
  <si>
    <t>SS-36442</t>
  </si>
  <si>
    <t>SS-35632</t>
  </si>
  <si>
    <t>SS-36425</t>
  </si>
  <si>
    <t>SS-33319</t>
  </si>
  <si>
    <t>SS-36987</t>
  </si>
  <si>
    <t>SS-37145</t>
  </si>
  <si>
    <t>Test 3D Builder model</t>
  </si>
  <si>
    <t>SS-36060</t>
  </si>
  <si>
    <t>SS-35590</t>
  </si>
  <si>
    <t>SS-36451</t>
  </si>
  <si>
    <t>SS-36450</t>
  </si>
  <si>
    <t>Detailed error is shown when user tries to create published param model from unpublished data</t>
  </si>
  <si>
    <t>Column details</t>
  </si>
  <si>
    <t>set up a published parameterized model and add 
that model to two LRs, where one LR has additional
 unpublished Maestro-uploaded poses in the 
"parameter" 3D column.</t>
  </si>
  <si>
    <t>Model Parameter from Picklist
(upcoming work: test cases to be added)</t>
  </si>
  <si>
    <t>SS-36281</t>
  </si>
  <si>
    <t>SS-36279</t>
  </si>
  <si>
    <t>CTR type execution does not work for 
3D Builder models</t>
  </si>
  <si>
    <t>Recalculate a normal model (including 3D Viz model, note that 
3D Builder models won't recalculate) and monitor TE</t>
  </si>
  <si>
    <t>SS-36217</t>
  </si>
  <si>
    <t>SS-36201</t>
  </si>
  <si>
    <t>Total Cases = 86</t>
  </si>
  <si>
    <t>LD 9-1 Pass 2 (StartDate: 02/02/2022)</t>
  </si>
  <si>
    <t>LD 9-0 Pass 4 (StartDate: 11/03/2021) Build(#)</t>
  </si>
  <si>
    <t>LD 9-0 Pass 3 (StartDate: 09/22/2021) Build(#)</t>
  </si>
  <si>
    <t>LD 9-0 Pass 2 (StartDate: 08/04/2021) Build(#)</t>
  </si>
  <si>
    <t>LD 9-0 Pass 1 (StartDate: 07/12/2021) Build(#)</t>
  </si>
  <si>
    <t>SS-33507</t>
  </si>
  <si>
    <t>SS-35557</t>
  </si>
  <si>
    <t>SS-34255</t>
  </si>
  <si>
    <t>SS-33952, SS-33257, SS-34255</t>
  </si>
  <si>
    <t>SS-34263</t>
  </si>
  <si>
    <t>SS-35546</t>
  </si>
  <si>
    <t>SS-33339
SS-34190</t>
  </si>
  <si>
    <t>SS-33339, SS-34484, SS-34190, SS-34508</t>
  </si>
  <si>
    <t>SS-34167, SS-33650</t>
  </si>
  <si>
    <t>SS-35689</t>
  </si>
  <si>
    <t>SS-33708</t>
  </si>
  <si>
    <t>SS-34208</t>
  </si>
  <si>
    <t>SS-30797</t>
  </si>
  <si>
    <t>SS-33620</t>
  </si>
  <si>
    <t>SS-36038</t>
  </si>
  <si>
    <t>SS-34659</t>
  </si>
  <si>
    <t>SS-35169</t>
  </si>
  <si>
    <t>LDIDEAS-5398</t>
  </si>
  <si>
    <t>SS-25734</t>
  </si>
  <si>
    <t>SS-34386</t>
  </si>
  <si>
    <t>SS-31485</t>
  </si>
  <si>
    <t>SS-31053</t>
  </si>
  <si>
    <t>SS-34303</t>
  </si>
  <si>
    <t>LD 9-0 Pass 4 (StartDate: 11/03/2021)</t>
  </si>
  <si>
    <t>LD 8-11 Pass 4 (StartDate: 05/17/2021) Build(#)</t>
  </si>
  <si>
    <t>LD 8-11 Pass 3 (StartDate: 03/18/2021) Build(#)</t>
  </si>
  <si>
    <t>LD 8-11 Pass 2 (StartDate: 03/01/2021) Build(#)</t>
  </si>
  <si>
    <t>LD 8-11 Pass 1 (StartDate: 05/02/2021) Build(#)</t>
  </si>
  <si>
    <t>Some problems (96%)</t>
  </si>
  <si>
    <t>test_create_protocol.py
test_get_and_verify_protocols_by_project_id.py</t>
  </si>
  <si>
    <t>SS-33257</t>
  </si>
  <si>
    <t>SS-33173</t>
  </si>
  <si>
    <t>SS-32325, SS-31820</t>
  </si>
  <si>
    <t>SS-33023</t>
  </si>
  <si>
    <t>SS-32998</t>
  </si>
  <si>
    <t>SS-33339, SS-33097, SS-33539, SS-34190</t>
  </si>
  <si>
    <t>SS-33339, SS-33097, SS-33508</t>
  </si>
  <si>
    <t>SS-32776</t>
  </si>
  <si>
    <t>SS-34167</t>
  </si>
  <si>
    <t>SS-33123</t>
  </si>
  <si>
    <t>SS-33462</t>
  </si>
  <si>
    <t>SS-31239</t>
  </si>
  <si>
    <t>SS-31659, SS-31740</t>
  </si>
  <si>
    <t>SS-32949</t>
  </si>
  <si>
    <t>SS-33505</t>
  </si>
  <si>
    <t>SS-31396</t>
  </si>
  <si>
    <t>SS-32766</t>
  </si>
  <si>
    <t>SS-33041</t>
  </si>
  <si>
    <t>SS-31408</t>
  </si>
  <si>
    <t>SS-33114</t>
  </si>
  <si>
    <t>SS-31657</t>
  </si>
  <si>
    <t>SS-31657, SS-32807</t>
  </si>
  <si>
    <t>SS-30910</t>
  </si>
  <si>
    <t>SS-33479</t>
  </si>
  <si>
    <t>SS-31598</t>
  </si>
  <si>
    <t>SS-31905</t>
  </si>
  <si>
    <t>SS-33447</t>
  </si>
  <si>
    <t>SS-31610</t>
  </si>
  <si>
    <t>SS-33506</t>
  </si>
  <si>
    <t>Total Cases = 82</t>
  </si>
  <si>
    <t>LD 8-11 Pass 4 (StartDate: 05/17/2021)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</si>
</sst>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7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26.0"/>
      <color theme="1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18.0"/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  <name val="Arial"/>
    </font>
    <font>
      <color rgb="FF0000FF"/>
      <name val="Sans-serif"/>
    </font>
    <font>
      <u/>
      <color rgb="FF0000FF"/>
    </font>
    <font>
      <u/>
      <color rgb="FF0000FF"/>
      <name val="Arial"/>
    </font>
    <font>
      <u/>
      <color rgb="FF1155CC"/>
    </font>
    <font>
      <u/>
      <color rgb="FF1155CC"/>
      <name val="Arial"/>
    </font>
    <font>
      <u/>
      <color rgb="FF1155CC"/>
      <name val="Arial"/>
      <scheme val="minor"/>
    </font>
    <font>
      <color rgb="FF000000"/>
    </font>
    <font>
      <u/>
      <color rgb="FF1155CC"/>
      <name val="Arial"/>
      <scheme val="minor"/>
    </font>
    <font>
      <u/>
      <color rgb="FF0000FF"/>
    </font>
    <font>
      <u/>
      <color rgb="FF1155CC"/>
    </font>
    <font>
      <sz val="10.0"/>
      <color rgb="FF000000"/>
      <name val="Arial"/>
    </font>
    <font>
      <u/>
      <color rgb="FF1155CC"/>
    </font>
    <font>
      <color rgb="FFFF9900"/>
      <name val="Arial"/>
    </font>
    <font>
      <color rgb="FF1D1C1D"/>
      <name val="Arial"/>
    </font>
    <font>
      <b/>
      <sz val="10.0"/>
      <color rgb="FF172B4D"/>
      <name val="-apple-system"/>
    </font>
    <font>
      <u/>
      <sz val="11.0"/>
      <color rgb="FF999999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</font>
    <font>
      <u/>
      <color rgb="FF0000FF"/>
    </font>
    <font>
      <u/>
      <color rgb="FF0000FF"/>
    </font>
    <font>
      <b/>
      <u/>
      <color rgb="FF0000FF"/>
    </font>
    <font>
      <color rgb="FF000000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sz val="11.0"/>
      <color rgb="FF999999"/>
      <name val="Arial"/>
    </font>
    <font>
      <u/>
      <color rgb="FF1155CC"/>
      <name val="Arial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0000FF"/>
      <name val="Arial"/>
    </font>
    <font>
      <u/>
      <color rgb="FF0000FF"/>
      <name val="Sans-serif"/>
    </font>
    <font>
      <u/>
      <color rgb="FF1155CC"/>
      <name val="Arial"/>
      <scheme val="minor"/>
    </font>
    <font>
      <u/>
      <color rgb="FF1155CC"/>
      <name val="Arial"/>
    </font>
    <font>
      <u/>
      <color rgb="FF1155CC"/>
      <name val="Arial"/>
      <scheme val="minor"/>
    </font>
    <font>
      <u/>
      <color rgb="FF1155CC"/>
      <name val="Arial"/>
    </font>
    <font>
      <u/>
      <color rgb="FF1155CC"/>
      <name val="Arial"/>
      <scheme val="minor"/>
    </font>
    <font>
      <u/>
      <color rgb="FF1155CC"/>
      <name val="Arial"/>
    </font>
    <font>
      <u/>
      <color rgb="FF1155CC"/>
      <name val="Arial"/>
      <scheme val="minor"/>
    </font>
    <font>
      <u/>
      <color rgb="FF1155CC"/>
      <name val="Arial"/>
    </font>
    <font>
      <u/>
      <color rgb="FF1155CC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  <scheme val="minor"/>
    </font>
    <font>
      <u/>
      <sz val="11.0"/>
      <color rgb="FF999999"/>
      <name val="Arial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sz val="11.0"/>
      <color rgb="FF3B73AF"/>
      <name val="Arial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sz val="11.0"/>
      <color rgb="FF3B73AF"/>
      <name val="Arial"/>
    </font>
    <font>
      <u/>
      <color rgb="FF1155CC"/>
      <name val="Arial"/>
      <scheme val="minor"/>
    </font>
    <font>
      <u/>
      <color rgb="FF1155CC"/>
      <name val="Arial"/>
      <scheme val="minor"/>
    </font>
    <font>
      <color rgb="FF172B4D"/>
      <name val="Arial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8300"/>
        <bgColor rgb="FFFF8300"/>
      </patternFill>
    </fill>
    <fill>
      <patternFill patternType="solid">
        <fgColor rgb="FFFFD27F"/>
        <bgColor rgb="FFFFD27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4F5F7"/>
        <bgColor rgb="FFF4F5F7"/>
      </patternFill>
    </fill>
    <fill>
      <patternFill patternType="solid">
        <fgColor rgb="FF9FC5E8"/>
        <bgColor rgb="FF9FC5E8"/>
      </patternFill>
    </fill>
    <fill>
      <patternFill patternType="solid">
        <fgColor rgb="FFD2D203"/>
        <bgColor rgb="FFD2D203"/>
      </patternFill>
    </fill>
    <fill>
      <patternFill patternType="solid">
        <fgColor rgb="FF90EE90"/>
        <bgColor rgb="FF90EE90"/>
      </patternFill>
    </fill>
    <fill>
      <patternFill patternType="solid">
        <fgColor rgb="FF5B9FAE"/>
        <bgColor rgb="FF5B9FAE"/>
      </patternFill>
    </fill>
    <fill>
      <patternFill patternType="solid">
        <fgColor rgb="FF999999"/>
        <bgColor rgb="FF999999"/>
      </patternFill>
    </fill>
    <fill>
      <patternFill patternType="solid">
        <fgColor rgb="FF6F5858"/>
        <bgColor rgb="FF6F5858"/>
      </patternFill>
    </fill>
    <fill>
      <patternFill patternType="solid">
        <fgColor rgb="FF434343"/>
        <bgColor rgb="FF434343"/>
      </patternFill>
    </fill>
    <fill>
      <patternFill patternType="solid">
        <fgColor rgb="FF816310"/>
        <bgColor rgb="FF816310"/>
      </patternFill>
    </fill>
    <fill>
      <patternFill patternType="solid">
        <fgColor rgb="FFFF6100"/>
        <bgColor rgb="FFFF6100"/>
      </patternFill>
    </fill>
    <fill>
      <patternFill patternType="solid">
        <fgColor rgb="FF635353"/>
        <bgColor rgb="FF635353"/>
      </patternFill>
    </fill>
    <fill>
      <patternFill patternType="solid">
        <fgColor rgb="FFCB95B1"/>
        <bgColor rgb="FFCB95B1"/>
      </patternFill>
    </fill>
    <fill>
      <patternFill patternType="solid">
        <fgColor rgb="FFD1A989"/>
        <bgColor rgb="FFD1A989"/>
      </patternFill>
    </fill>
    <fill>
      <patternFill patternType="solid">
        <fgColor rgb="FF00FF2A"/>
        <bgColor rgb="FF00FF2A"/>
      </patternFill>
    </fill>
    <fill>
      <patternFill patternType="solid">
        <fgColor rgb="FFC0FFFA"/>
        <bgColor rgb="FFC0FFFA"/>
      </patternFill>
    </fill>
    <fill>
      <patternFill patternType="solid">
        <fgColor rgb="FFF600FF"/>
        <bgColor rgb="FFF600FF"/>
      </patternFill>
    </fill>
    <fill>
      <patternFill patternType="solid">
        <fgColor rgb="FF3D4E71"/>
        <bgColor rgb="FF3D4E71"/>
      </patternFill>
    </fill>
    <fill>
      <patternFill patternType="solid">
        <fgColor rgb="FF666666"/>
        <bgColor rgb="FF666666"/>
      </patternFill>
    </fill>
    <fill>
      <patternFill patternType="solid">
        <fgColor rgb="FFB25590"/>
        <bgColor rgb="FFB25590"/>
      </patternFill>
    </fill>
    <fill>
      <patternFill patternType="solid">
        <fgColor rgb="FF8E7CC3"/>
        <bgColor rgb="FF8E7CC3"/>
      </patternFill>
    </fill>
    <fill>
      <patternFill patternType="solid">
        <fgColor rgb="FFE6B8AF"/>
        <bgColor rgb="FFE6B8AF"/>
      </patternFill>
    </fill>
    <fill>
      <patternFill patternType="solid">
        <fgColor rgb="FF961C35"/>
        <bgColor rgb="FF961C35"/>
      </patternFill>
    </fill>
    <fill>
      <patternFill patternType="solid">
        <fgColor rgb="FF7F905A"/>
        <bgColor rgb="FF7F905A"/>
      </patternFill>
    </fill>
    <fill>
      <patternFill patternType="solid">
        <fgColor rgb="FFFE9900"/>
        <bgColor rgb="FFFE9900"/>
      </patternFill>
    </fill>
    <fill>
      <patternFill patternType="solid">
        <fgColor rgb="FFFFE599"/>
        <bgColor rgb="FFFFE599"/>
      </patternFill>
    </fill>
    <fill>
      <patternFill patternType="solid">
        <fgColor theme="5"/>
        <bgColor theme="5"/>
      </patternFill>
    </fill>
  </fills>
  <borders count="34">
    <border/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2" fontId="1" numFmtId="0" xfId="0" applyAlignment="1" applyBorder="1" applyFill="1" applyFont="1">
      <alignment horizontal="center" readingOrder="0" vertical="bottom"/>
    </xf>
    <xf borderId="5" fillId="0" fontId="1" numFmtId="0" xfId="0" applyAlignment="1" applyBorder="1" applyFont="1">
      <alignment horizontal="center" readingOrder="0" shrinkToFit="0" vertical="bottom" wrapText="1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4" fillId="4" fontId="1" numFmtId="0" xfId="0" applyAlignment="1" applyBorder="1" applyFill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2" fillId="5" fontId="3" numFmtId="0" xfId="0" applyAlignment="1" applyBorder="1" applyFill="1" applyFont="1">
      <alignment horizontal="center" readingOrder="0" vertical="bottom"/>
    </xf>
    <xf borderId="13" fillId="5" fontId="3" numFmtId="0" xfId="0" applyAlignment="1" applyBorder="1" applyFont="1">
      <alignment horizontal="center" readingOrder="0" vertical="bottom"/>
    </xf>
    <xf borderId="14" fillId="5" fontId="3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6" fillId="0" fontId="4" numFmtId="0" xfId="0" applyAlignment="1" applyBorder="1" applyFont="1">
      <alignment horizontal="center" readingOrder="0" shrinkToFit="0" textRotation="90" vertical="center" wrapText="1"/>
    </xf>
    <xf borderId="16" fillId="0" fontId="5" numFmtId="0" xfId="0" applyAlignment="1" applyBorder="1" applyFont="1">
      <alignment horizontal="center" shrinkToFit="0" textRotation="90" vertical="center" wrapText="1"/>
    </xf>
    <xf borderId="17" fillId="0" fontId="6" numFmtId="0" xfId="0" applyAlignment="1" applyBorder="1" applyFont="1">
      <alignment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readingOrder="0" vertical="bottom"/>
    </xf>
    <xf borderId="4" fillId="6" fontId="6" numFmtId="0" xfId="0" applyAlignment="1" applyBorder="1" applyFont="1">
      <alignment horizontal="center" readingOrder="0" vertical="bottom"/>
    </xf>
    <xf borderId="4" fillId="6" fontId="7" numFmtId="0" xfId="0" applyAlignment="1" applyBorder="1" applyFont="1">
      <alignment horizontal="center" readingOrder="0" vertical="bottom"/>
    </xf>
    <xf borderId="19" fillId="0" fontId="2" numFmtId="0" xfId="0" applyBorder="1" applyFont="1"/>
    <xf borderId="20" fillId="0" fontId="6" numFmtId="0" xfId="0" applyAlignment="1" applyBorder="1" applyFont="1">
      <alignment readingOrder="0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4" numFmtId="0" xfId="0" applyAlignment="1" applyBorder="1" applyFont="1">
      <alignment horizontal="center" shrinkToFit="0" textRotation="90" vertical="center" wrapText="1"/>
    </xf>
    <xf borderId="23" fillId="0" fontId="5" numFmtId="0" xfId="0" applyAlignment="1" applyBorder="1" applyFont="1">
      <alignment horizontal="center" shrinkToFit="0" textRotation="0" vertical="center" wrapText="1"/>
    </xf>
    <xf borderId="20" fillId="7" fontId="6" numFmtId="0" xfId="0" applyAlignment="1" applyBorder="1" applyFill="1" applyFont="1">
      <alignment shrinkToFit="0" vertical="center" wrapText="1"/>
    </xf>
    <xf borderId="20" fillId="8" fontId="8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center" vertical="bottom"/>
    </xf>
    <xf borderId="20" fillId="7" fontId="6" numFmtId="0" xfId="0" applyAlignment="1" applyBorder="1" applyFont="1">
      <alignment readingOrder="0" shrinkToFit="0" vertical="center" wrapText="1"/>
    </xf>
    <xf borderId="20" fillId="8" fontId="9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textRotation="90" vertical="center" wrapText="1"/>
    </xf>
    <xf borderId="20" fillId="0" fontId="6" numFmtId="0" xfId="0" applyAlignment="1" applyBorder="1" applyFont="1">
      <alignment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20" fillId="6" fontId="6" numFmtId="0" xfId="0" applyAlignment="1" applyBorder="1" applyFont="1">
      <alignment readingOrder="0" shrinkToFit="0" vertical="center" wrapText="1"/>
    </xf>
    <xf borderId="20" fillId="6" fontId="6" numFmtId="0" xfId="0" applyAlignment="1" applyBorder="1" applyFont="1">
      <alignment shrinkToFit="0" vertical="center" wrapText="1"/>
    </xf>
    <xf borderId="21" fillId="0" fontId="6" numFmtId="0" xfId="0" applyAlignment="1" applyBorder="1" applyFont="1">
      <alignment horizontal="center" readingOrder="0" shrinkToFit="0" vertical="center" wrapText="1"/>
    </xf>
    <xf borderId="4" fillId="6" fontId="11" numFmtId="0" xfId="0" applyAlignment="1" applyBorder="1" applyFont="1">
      <alignment horizontal="center" readingOrder="0" vertical="bottom"/>
    </xf>
    <xf borderId="20" fillId="0" fontId="12" numFmtId="0" xfId="0" applyAlignment="1" applyBorder="1" applyFont="1">
      <alignment shrinkToFit="0" vertical="center" wrapText="1"/>
    </xf>
    <xf borderId="23" fillId="6" fontId="5" numFmtId="0" xfId="0" applyAlignment="1" applyBorder="1" applyFont="1">
      <alignment horizontal="center" shrinkToFit="0" textRotation="90" vertical="center" wrapText="1"/>
    </xf>
    <xf borderId="20" fillId="0" fontId="6" numFmtId="0" xfId="0" applyAlignment="1" applyBorder="1" applyFont="1">
      <alignment horizontal="center" readingOrder="0" shrinkToFit="0" vertical="center" wrapText="1"/>
    </xf>
    <xf borderId="20" fillId="0" fontId="6" numFmtId="0" xfId="0" applyAlignment="1" applyBorder="1" applyFont="1">
      <alignment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shrinkToFit="0" wrapText="1"/>
    </xf>
    <xf borderId="21" fillId="0" fontId="13" numFmtId="0" xfId="0" applyAlignment="1" applyBorder="1" applyFont="1">
      <alignment horizontal="center" shrinkToFit="0" vertical="center" wrapText="1"/>
    </xf>
    <xf borderId="20" fillId="7" fontId="6" numFmtId="0" xfId="0" applyAlignment="1" applyBorder="1" applyFont="1">
      <alignment shrinkToFit="0" vertical="center" wrapText="1"/>
    </xf>
    <xf borderId="20" fillId="6" fontId="6" numFmtId="0" xfId="0" applyAlignment="1" applyBorder="1" applyFont="1">
      <alignment shrinkToFit="0" vertical="center" wrapText="1"/>
    </xf>
    <xf borderId="20" fillId="0" fontId="6" numFmtId="0" xfId="0" applyAlignment="1" applyBorder="1" applyFont="1">
      <alignment readingOrder="0" shrinkToFit="0" vertical="center" wrapText="1"/>
    </xf>
    <xf borderId="20" fillId="0" fontId="6" numFmtId="0" xfId="0" applyAlignment="1" applyBorder="1" applyFont="1">
      <alignment shrinkToFit="0" vertical="center" wrapText="1"/>
    </xf>
    <xf borderId="20" fillId="6" fontId="6" numFmtId="0" xfId="0" applyAlignment="1" applyBorder="1" applyFont="1">
      <alignment shrinkToFit="0" vertical="center" wrapText="1"/>
    </xf>
    <xf borderId="20" fillId="6" fontId="6" numFmtId="0" xfId="0" applyAlignment="1" applyBorder="1" applyFont="1">
      <alignment readingOrder="0" shrinkToFit="0" vertical="center" wrapText="1"/>
    </xf>
    <xf borderId="20" fillId="9" fontId="14" numFmtId="0" xfId="0" applyAlignment="1" applyBorder="1" applyFill="1" applyFont="1">
      <alignment horizontal="center"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20" fillId="8" fontId="1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4" fillId="0" fontId="17" numFmtId="0" xfId="0" applyAlignment="1" applyBorder="1" applyFont="1">
      <alignment horizontal="center" shrinkToFit="0" vertical="center" wrapText="1"/>
    </xf>
    <xf borderId="16" fillId="0" fontId="18" numFmtId="0" xfId="0" applyAlignment="1" applyBorder="1" applyFont="1">
      <alignment horizontal="center" readingOrder="0" textRotation="90" vertical="center"/>
    </xf>
    <xf borderId="16" fillId="0" fontId="19" numFmtId="0" xfId="0" applyAlignment="1" applyBorder="1" applyFont="1">
      <alignment horizontal="center" readingOrder="0" textRotation="90" vertical="center"/>
    </xf>
    <xf borderId="17" fillId="0" fontId="6" numFmtId="0" xfId="0" applyAlignment="1" applyBorder="1" applyFont="1">
      <alignment horizontal="center" shrinkToFit="0" vertical="bottom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vertical="bottom"/>
    </xf>
    <xf borderId="4" fillId="6" fontId="20" numFmtId="0" xfId="0" applyAlignment="1" applyBorder="1" applyFont="1">
      <alignment horizontal="center" readingOrder="0" vertical="bottom"/>
    </xf>
    <xf borderId="20" fillId="0" fontId="6" numFmtId="0" xfId="0" applyAlignment="1" applyBorder="1" applyFont="1">
      <alignment horizontal="center" shrinkToFit="0" vertical="bottom" wrapText="1"/>
    </xf>
    <xf borderId="20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vertical="bottom"/>
    </xf>
    <xf borderId="20" fillId="0" fontId="0" numFmtId="0" xfId="0" applyAlignment="1" applyBorder="1" applyFont="1">
      <alignment horizontal="center" readingOrder="0" shrinkToFit="0" wrapText="1"/>
    </xf>
    <xf borderId="20" fillId="0" fontId="21" numFmtId="0" xfId="0" applyAlignment="1" applyBorder="1" applyFont="1">
      <alignment readingOrder="0" shrinkToFit="0" vertical="center" wrapText="1"/>
    </xf>
    <xf borderId="21" fillId="0" fontId="22" numFmtId="0" xfId="0" applyAlignment="1" applyBorder="1" applyFont="1">
      <alignment horizontal="center" readingOrder="0" vertical="bottom"/>
    </xf>
    <xf borderId="20" fillId="6" fontId="7" numFmtId="0" xfId="0" applyAlignment="1" applyBorder="1" applyFont="1">
      <alignment horizontal="center" shrinkToFit="0" wrapText="1"/>
    </xf>
    <xf borderId="20" fillId="8" fontId="23" numFmtId="0" xfId="0" applyAlignment="1" applyBorder="1" applyFont="1">
      <alignment readingOrder="0" shrinkToFit="0" vertical="center" wrapText="1"/>
    </xf>
    <xf borderId="20" fillId="7" fontId="6" numFmtId="0" xfId="0" applyAlignment="1" applyBorder="1" applyFont="1">
      <alignment horizontal="center" shrinkToFit="0" vertical="bottom" wrapText="1"/>
    </xf>
    <xf borderId="21" fillId="0" fontId="24" numFmtId="0" xfId="0" applyAlignment="1" applyBorder="1" applyFont="1">
      <alignment horizontal="center" readingOrder="0" vertical="bottom"/>
    </xf>
    <xf borderId="20" fillId="0" fontId="6" numFmtId="0" xfId="0" applyAlignment="1" applyBorder="1" applyFont="1">
      <alignment horizontal="center" readingOrder="0" shrinkToFit="0" vertical="bottom" wrapText="1"/>
    </xf>
    <xf borderId="20" fillId="8" fontId="25" numFmtId="0" xfId="0" applyAlignment="1" applyBorder="1" applyFont="1">
      <alignment readingOrder="0" shrinkToFit="0" vertical="center" wrapText="1"/>
    </xf>
    <xf borderId="21" fillId="0" fontId="26" numFmtId="0" xfId="0" applyAlignment="1" applyBorder="1" applyFont="1">
      <alignment horizontal="center" readingOrder="0" vertical="bottom"/>
    </xf>
    <xf borderId="20" fillId="10" fontId="6" numFmtId="0" xfId="0" applyAlignment="1" applyBorder="1" applyFill="1" applyFont="1">
      <alignment horizontal="center" shrinkToFit="0" vertical="bottom" wrapText="1"/>
    </xf>
    <xf borderId="20" fillId="7" fontId="6" numFmtId="0" xfId="0" applyAlignment="1" applyBorder="1" applyFont="1">
      <alignment horizontal="center" shrinkToFit="0" wrapText="1"/>
    </xf>
    <xf borderId="20" fillId="6" fontId="6" numFmtId="0" xfId="0" applyAlignment="1" applyBorder="1" applyFont="1">
      <alignment horizontal="center" shrinkToFit="0" wrapText="1"/>
    </xf>
    <xf borderId="20" fillId="6" fontId="6" numFmtId="0" xfId="0" applyAlignment="1" applyBorder="1" applyFont="1">
      <alignment horizontal="center" shrinkToFit="0" wrapText="1"/>
    </xf>
    <xf borderId="20" fillId="8" fontId="27" numFmtId="0" xfId="0" applyAlignment="1" applyBorder="1" applyFont="1">
      <alignment horizontal="center" readingOrder="0" shrinkToFit="0" vertical="center" wrapText="1"/>
    </xf>
    <xf borderId="20" fillId="6" fontId="6" numFmtId="0" xfId="0" applyAlignment="1" applyBorder="1" applyFont="1">
      <alignment horizontal="center" readingOrder="0" shrinkToFit="0" wrapText="1"/>
    </xf>
    <xf borderId="20" fillId="0" fontId="7" numFmtId="0" xfId="0" applyAlignment="1" applyBorder="1" applyFont="1">
      <alignment horizontal="center" readingOrder="0" shrinkToFit="0" wrapText="1"/>
    </xf>
    <xf borderId="21" fillId="6" fontId="28" numFmtId="0" xfId="0" applyAlignment="1" applyBorder="1" applyFont="1">
      <alignment horizontal="center" readingOrder="0" vertical="bottom"/>
    </xf>
    <xf borderId="20" fillId="7" fontId="7" numFmtId="0" xfId="0" applyAlignment="1" applyBorder="1" applyFont="1">
      <alignment horizontal="center" readingOrder="0" shrinkToFit="0" wrapText="1"/>
    </xf>
    <xf borderId="20" fillId="8" fontId="29" numFmtId="0" xfId="0" applyAlignment="1" applyBorder="1" applyFont="1">
      <alignment horizontal="center" readingOrder="0" shrinkToFit="0" vertical="center" wrapText="1"/>
    </xf>
    <xf borderId="21" fillId="6" fontId="30" numFmtId="0" xfId="0" applyAlignment="1" applyBorder="1" applyFont="1">
      <alignment horizontal="center" readingOrder="0" vertical="bottom"/>
    </xf>
    <xf borderId="20" fillId="6" fontId="31" numFmtId="0" xfId="0" applyAlignment="1" applyBorder="1" applyFont="1">
      <alignment horizontal="center" readingOrder="0" shrinkToFit="0" vertical="center" wrapText="1"/>
    </xf>
    <xf borderId="23" fillId="0" fontId="19" numFmtId="0" xfId="0" applyAlignment="1" applyBorder="1" applyFont="1">
      <alignment horizontal="center" readingOrder="0" textRotation="90" vertical="center"/>
    </xf>
    <xf borderId="20" fillId="7" fontId="6" numFmtId="0" xfId="0" applyAlignment="1" applyBorder="1" applyFont="1">
      <alignment horizontal="center" shrinkToFit="0" wrapText="1"/>
    </xf>
    <xf borderId="20" fillId="8" fontId="32" numFmtId="0" xfId="0" applyAlignment="1" applyBorder="1" applyFont="1">
      <alignment horizontal="center" readingOrder="0" shrinkToFit="0" vertical="center" wrapText="1"/>
    </xf>
    <xf borderId="4" fillId="6" fontId="33" numFmtId="0" xfId="0" applyAlignment="1" applyBorder="1" applyFont="1">
      <alignment horizontal="center" readingOrder="0" vertical="bottom"/>
    </xf>
    <xf borderId="20" fillId="6" fontId="6" numFmtId="0" xfId="0" applyAlignment="1" applyBorder="1" applyFont="1">
      <alignment horizontal="center" readingOrder="0" shrinkToFit="0" wrapText="1"/>
    </xf>
    <xf borderId="20" fillId="6" fontId="34" numFmtId="0" xfId="0" applyAlignment="1" applyBorder="1" applyFont="1">
      <alignment horizontal="center" shrinkToFit="0" vertical="bottom" wrapText="1"/>
    </xf>
    <xf borderId="20" fillId="7" fontId="6" numFmtId="0" xfId="0" applyAlignment="1" applyBorder="1" applyFont="1">
      <alignment horizontal="center" shrinkToFit="0" wrapText="1"/>
    </xf>
    <xf borderId="20" fillId="0" fontId="34" numFmtId="0" xfId="0" applyAlignment="1" applyBorder="1" applyFont="1">
      <alignment horizontal="center" readingOrder="0" shrinkToFit="0" vertical="bottom" wrapText="1"/>
    </xf>
    <xf borderId="20" fillId="7" fontId="34" numFmtId="0" xfId="0" applyAlignment="1" applyBorder="1" applyFont="1">
      <alignment horizontal="center" readingOrder="0" shrinkToFit="0" vertical="bottom" wrapText="1"/>
    </xf>
    <xf borderId="20" fillId="6" fontId="34" numFmtId="0" xfId="0" applyAlignment="1" applyBorder="1" applyFont="1">
      <alignment horizontal="center" readingOrder="0" shrinkToFit="0" vertical="bottom" wrapText="1"/>
    </xf>
    <xf borderId="20" fillId="7" fontId="7" numFmtId="0" xfId="0" applyAlignment="1" applyBorder="1" applyFont="1">
      <alignment horizontal="center" shrinkToFit="0" wrapText="1"/>
    </xf>
    <xf borderId="21" fillId="0" fontId="1" numFmtId="0" xfId="0" applyAlignment="1" applyBorder="1" applyFont="1">
      <alignment horizontal="center" shrinkToFit="0" vertical="bottom" wrapText="1"/>
    </xf>
    <xf borderId="21" fillId="0" fontId="1" numFmtId="0" xfId="0" applyAlignment="1" applyBorder="1" applyFont="1">
      <alignment horizontal="center" readingOrder="0" shrinkToFit="0" vertical="bottom" wrapText="1"/>
    </xf>
    <xf borderId="23" fillId="0" fontId="19" numFmtId="0" xfId="0" applyAlignment="1" applyBorder="1" applyFont="1">
      <alignment horizontal="center" readingOrder="0" shrinkToFit="0" textRotation="90" vertical="center" wrapText="1"/>
    </xf>
    <xf borderId="20" fillId="11" fontId="35" numFmtId="0" xfId="0" applyAlignment="1" applyBorder="1" applyFill="1" applyFont="1">
      <alignment readingOrder="0" shrinkToFit="0" vertical="center" wrapText="1"/>
    </xf>
    <xf borderId="21" fillId="6" fontId="36" numFmtId="0" xfId="0" applyAlignment="1" applyBorder="1" applyFont="1">
      <alignment horizontal="center" readingOrder="0"/>
    </xf>
    <xf borderId="20" fillId="6" fontId="31" numFmtId="0" xfId="0" applyAlignment="1" applyBorder="1" applyFont="1">
      <alignment horizontal="center" readingOrder="0" shrinkToFit="0" wrapText="1"/>
    </xf>
    <xf borderId="20" fillId="6" fontId="7" numFmtId="0" xfId="0" applyAlignment="1" applyBorder="1" applyFont="1">
      <alignment horizontal="center" readingOrder="0" shrinkToFit="0" wrapText="1"/>
    </xf>
    <xf borderId="20" fillId="7" fontId="7" numFmtId="0" xfId="0" applyAlignment="1" applyBorder="1" applyFont="1">
      <alignment horizontal="center" shrinkToFit="0" vertical="bottom" wrapText="1"/>
    </xf>
    <xf borderId="20" fillId="6" fontId="7" numFmtId="0" xfId="0" applyAlignment="1" applyBorder="1" applyFont="1">
      <alignment horizontal="center" shrinkToFit="0" vertical="bottom" wrapText="1"/>
    </xf>
    <xf borderId="20" fillId="0" fontId="1" numFmtId="0" xfId="0" applyAlignment="1" applyBorder="1" applyFont="1">
      <alignment shrinkToFit="0" vertical="center" wrapText="1"/>
    </xf>
    <xf borderId="20" fillId="7" fontId="6" numFmtId="0" xfId="0" applyAlignment="1" applyBorder="1" applyFont="1">
      <alignment horizontal="center" readingOrder="0" shrinkToFit="0" wrapText="1"/>
    </xf>
    <xf borderId="20" fillId="0" fontId="6" numFmtId="0" xfId="0" applyAlignment="1" applyBorder="1" applyFont="1">
      <alignment horizontal="center" vertical="bottom"/>
    </xf>
    <xf borderId="20" fillId="7" fontId="6" numFmtId="0" xfId="0" applyAlignment="1" applyBorder="1" applyFont="1">
      <alignment horizontal="center" vertical="bottom"/>
    </xf>
    <xf borderId="0" fillId="0" fontId="1" numFmtId="0" xfId="0" applyAlignment="1" applyFont="1">
      <alignment readingOrder="0" shrinkToFit="0" vertical="center" wrapText="1"/>
    </xf>
    <xf borderId="21" fillId="0" fontId="37" numFmtId="0" xfId="0" applyAlignment="1" applyBorder="1" applyFont="1">
      <alignment horizontal="center" readingOrder="0" shrinkToFit="0" vertical="bottom" wrapText="1"/>
    </xf>
    <xf borderId="20" fillId="2" fontId="38" numFmtId="0" xfId="0" applyAlignment="1" applyBorder="1" applyFont="1">
      <alignment horizontal="center" readingOrder="0" shrinkToFit="0" vertical="center" wrapText="1"/>
    </xf>
    <xf borderId="20" fillId="6" fontId="0" numFmtId="0" xfId="0" applyAlignment="1" applyBorder="1" applyFont="1">
      <alignment horizontal="center" readingOrder="0" shrinkToFit="0" wrapText="1"/>
    </xf>
    <xf borderId="20" fillId="12" fontId="6" numFmtId="0" xfId="0" applyAlignment="1" applyBorder="1" applyFill="1" applyFont="1">
      <alignment horizontal="center" shrinkToFit="0" wrapText="1"/>
    </xf>
    <xf borderId="21" fillId="0" fontId="39" numFmtId="0" xfId="0" applyAlignment="1" applyBorder="1" applyFont="1">
      <alignment horizontal="center" readingOrder="0" shrinkToFit="0" wrapText="1"/>
    </xf>
    <xf borderId="20" fillId="0" fontId="6" numFmtId="0" xfId="0" applyAlignment="1" applyBorder="1" applyFont="1">
      <alignment horizontal="center" shrinkToFit="0" wrapText="1"/>
    </xf>
    <xf borderId="21" fillId="0" fontId="6" numFmtId="0" xfId="0" applyBorder="1" applyFont="1"/>
    <xf borderId="21" fillId="0" fontId="6" numFmtId="0" xfId="0" applyAlignment="1" applyBorder="1" applyFont="1">
      <alignment horizontal="center" shrinkToFit="0" wrapText="1"/>
    </xf>
    <xf borderId="21" fillId="0" fontId="6" numFmtId="0" xfId="0" applyAlignment="1" applyBorder="1" applyFont="1">
      <alignment vertical="bottom"/>
    </xf>
    <xf borderId="21" fillId="0" fontId="40" numFmtId="0" xfId="0" applyAlignment="1" applyBorder="1" applyFont="1">
      <alignment horizontal="center" shrinkToFit="0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41" numFmtId="0" xfId="0" applyAlignment="1" applyBorder="1" applyFont="1">
      <alignment horizontal="center" readingOrder="0" shrinkToFit="0" vertical="bottom" wrapText="1"/>
    </xf>
    <xf borderId="20" fillId="0" fontId="6" numFmtId="0" xfId="0" applyAlignment="1" applyBorder="1" applyFont="1">
      <alignment horizontal="center" readingOrder="0" shrinkToFit="0" wrapText="1"/>
    </xf>
    <xf borderId="21" fillId="0" fontId="1" numFmtId="0" xfId="0" applyAlignment="1" applyBorder="1" applyFont="1">
      <alignment horizontal="center" readingOrder="0" vertical="bottom"/>
    </xf>
    <xf borderId="23" fillId="0" fontId="3" numFmtId="0" xfId="0" applyAlignment="1" applyBorder="1" applyFont="1">
      <alignment horizontal="center" readingOrder="0" shrinkToFit="0" textRotation="0" vertical="center" wrapText="1"/>
    </xf>
    <xf borderId="20" fillId="0" fontId="1" numFmtId="0" xfId="0" applyAlignment="1" applyBorder="1" applyFont="1">
      <alignment horizontal="center" readingOrder="0" vertical="bottom"/>
    </xf>
    <xf borderId="20" fillId="0" fontId="31" numFmtId="0" xfId="0" applyAlignment="1" applyBorder="1" applyFont="1">
      <alignment horizontal="center" readingOrder="0"/>
    </xf>
    <xf borderId="21" fillId="0" fontId="3" numFmtId="0" xfId="0" applyAlignment="1" applyBorder="1" applyFont="1">
      <alignment horizontal="center" readingOrder="0" vertical="bottom"/>
    </xf>
    <xf borderId="20" fillId="8" fontId="42" numFmtId="0" xfId="0" applyAlignment="1" applyBorder="1" applyFont="1">
      <alignment readingOrder="0" shrinkToFit="0" vertical="center" wrapText="1"/>
    </xf>
    <xf borderId="20" fillId="7" fontId="31" numFmtId="0" xfId="0" applyAlignment="1" applyBorder="1" applyFont="1">
      <alignment horizontal="center" readingOrder="0" shrinkToFit="0" wrapText="1"/>
    </xf>
    <xf borderId="21" fillId="0" fontId="43" numFmtId="0" xfId="0" applyAlignment="1" applyBorder="1" applyFont="1">
      <alignment horizontal="center" readingOrder="0" vertical="bottom"/>
    </xf>
    <xf borderId="20" fillId="7" fontId="31" numFmtId="0" xfId="0" applyAlignment="1" applyBorder="1" applyFont="1">
      <alignment horizontal="center" readingOrder="0"/>
    </xf>
    <xf borderId="21" fillId="0" fontId="44" numFmtId="0" xfId="0" applyAlignment="1" applyBorder="1" applyFont="1">
      <alignment horizontal="center" readingOrder="0" vertical="bottom"/>
    </xf>
    <xf borderId="22" fillId="0" fontId="1" numFmtId="0" xfId="0" applyAlignment="1" applyBorder="1" applyFont="1">
      <alignment horizontal="center" vertical="bottom"/>
    </xf>
    <xf borderId="25" fillId="0" fontId="1" numFmtId="0" xfId="0" applyAlignment="1" applyBorder="1" applyFont="1">
      <alignment horizontal="center" readingOrder="0" vertical="bottom"/>
    </xf>
    <xf borderId="26" fillId="0" fontId="2" numFmtId="0" xfId="0" applyBorder="1" applyFont="1"/>
    <xf borderId="27" fillId="0" fontId="2" numFmtId="0" xfId="0" applyBorder="1" applyFont="1"/>
    <xf borderId="20" fillId="0" fontId="1" numFmtId="0" xfId="0" applyAlignment="1" applyBorder="1" applyFont="1">
      <alignment horizontal="center" vertical="bottom"/>
    </xf>
    <xf borderId="20" fillId="0" fontId="3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0" fillId="0" fontId="6" numFmtId="0" xfId="0" applyAlignment="1" applyBorder="1" applyFont="1">
      <alignment vertical="bottom"/>
    </xf>
    <xf borderId="20" fillId="13" fontId="6" numFmtId="0" xfId="0" applyAlignment="1" applyBorder="1" applyFill="1" applyFont="1">
      <alignment horizontal="center" vertical="bottom"/>
    </xf>
    <xf borderId="20" fillId="14" fontId="6" numFmtId="0" xfId="0" applyAlignment="1" applyBorder="1" applyFill="1" applyFont="1">
      <alignment horizontal="center" vertical="bottom"/>
    </xf>
    <xf borderId="20" fillId="15" fontId="6" numFmtId="0" xfId="0" applyAlignment="1" applyBorder="1" applyFill="1" applyFont="1">
      <alignment horizontal="center" vertical="bottom"/>
    </xf>
    <xf borderId="20" fillId="16" fontId="6" numFmtId="0" xfId="0" applyAlignment="1" applyBorder="1" applyFill="1" applyFont="1">
      <alignment horizontal="center" vertical="bottom"/>
    </xf>
    <xf borderId="20" fillId="17" fontId="6" numFmtId="0" xfId="0" applyAlignment="1" applyBorder="1" applyFill="1" applyFont="1">
      <alignment horizontal="center" vertical="bottom"/>
    </xf>
    <xf borderId="20" fillId="18" fontId="6" numFmtId="0" xfId="0" applyAlignment="1" applyBorder="1" applyFill="1" applyFont="1">
      <alignment horizontal="center" vertical="bottom"/>
    </xf>
    <xf borderId="20" fillId="19" fontId="6" numFmtId="0" xfId="0" applyAlignment="1" applyBorder="1" applyFill="1" applyFont="1">
      <alignment horizontal="center" vertical="bottom"/>
    </xf>
    <xf borderId="20" fillId="20" fontId="6" numFmtId="0" xfId="0" applyAlignment="1" applyBorder="1" applyFill="1" applyFont="1">
      <alignment horizontal="center" vertical="bottom"/>
    </xf>
    <xf borderId="20" fillId="21" fontId="6" numFmtId="0" xfId="0" applyAlignment="1" applyBorder="1" applyFill="1" applyFont="1">
      <alignment horizontal="center" vertical="bottom"/>
    </xf>
    <xf borderId="20" fillId="2" fontId="6" numFmtId="0" xfId="0" applyAlignment="1" applyBorder="1" applyFont="1">
      <alignment horizontal="center" vertical="bottom"/>
    </xf>
    <xf borderId="20" fillId="22" fontId="6" numFmtId="0" xfId="0" applyAlignment="1" applyBorder="1" applyFill="1" applyFont="1">
      <alignment horizontal="center" vertical="bottom"/>
    </xf>
    <xf borderId="20" fillId="3" fontId="6" numFmtId="0" xfId="0" applyAlignment="1" applyBorder="1" applyFont="1">
      <alignment horizontal="center" vertical="bottom"/>
    </xf>
    <xf borderId="20" fillId="23" fontId="6" numFmtId="0" xfId="0" applyAlignment="1" applyBorder="1" applyFill="1" applyFont="1">
      <alignment horizontal="center" vertical="bottom"/>
    </xf>
    <xf borderId="20" fillId="24" fontId="6" numFmtId="0" xfId="0" applyAlignment="1" applyBorder="1" applyFill="1" applyFont="1">
      <alignment horizontal="center" vertical="bottom"/>
    </xf>
    <xf borderId="20" fillId="25" fontId="6" numFmtId="0" xfId="0" applyAlignment="1" applyBorder="1" applyFill="1" applyFont="1">
      <alignment horizontal="center" vertical="bottom"/>
    </xf>
    <xf borderId="20" fillId="26" fontId="6" numFmtId="0" xfId="0" applyAlignment="1" applyBorder="1" applyFill="1" applyFont="1">
      <alignment horizontal="center" vertical="bottom"/>
    </xf>
    <xf borderId="20" fillId="27" fontId="6" numFmtId="0" xfId="0" applyAlignment="1" applyBorder="1" applyFill="1" applyFont="1">
      <alignment horizontal="center" vertical="bottom"/>
    </xf>
    <xf borderId="20" fillId="28" fontId="6" numFmtId="0" xfId="0" applyAlignment="1" applyBorder="1" applyFill="1" applyFont="1">
      <alignment horizontal="center" vertical="bottom"/>
    </xf>
    <xf borderId="20" fillId="29" fontId="6" numFmtId="0" xfId="0" applyAlignment="1" applyBorder="1" applyFill="1" applyFont="1">
      <alignment horizontal="center" vertical="bottom"/>
    </xf>
    <xf borderId="20" fillId="30" fontId="6" numFmtId="0" xfId="0" applyAlignment="1" applyBorder="1" applyFill="1" applyFont="1">
      <alignment horizontal="center" vertical="bottom"/>
    </xf>
    <xf borderId="20" fillId="31" fontId="6" numFmtId="0" xfId="0" applyAlignment="1" applyBorder="1" applyFill="1" applyFont="1">
      <alignment horizontal="center" readingOrder="0" vertical="bottom"/>
    </xf>
    <xf borderId="20" fillId="32" fontId="6" numFmtId="0" xfId="0" applyAlignment="1" applyBorder="1" applyFill="1" applyFont="1">
      <alignment horizontal="center" vertical="bottom"/>
    </xf>
    <xf borderId="20" fillId="33" fontId="6" numFmtId="0" xfId="0" applyAlignment="1" applyBorder="1" applyFill="1" applyFont="1">
      <alignment horizontal="center" vertical="bottom"/>
    </xf>
    <xf borderId="20" fillId="8" fontId="6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readingOrder="0" vertical="bottom"/>
    </xf>
    <xf borderId="20" fillId="8" fontId="6" numFmtId="0" xfId="0" applyAlignment="1" applyBorder="1" applyFont="1">
      <alignment readingOrder="0" shrinkToFit="0" vertical="center" wrapText="1"/>
    </xf>
    <xf borderId="20" fillId="8" fontId="45" numFmtId="0" xfId="0" applyAlignment="1" applyBorder="1" applyFont="1">
      <alignment horizontal="center" readingOrder="0" shrinkToFit="0" vertical="center" wrapText="1"/>
    </xf>
    <xf borderId="20" fillId="8" fontId="1" numFmtId="0" xfId="0" applyAlignment="1" applyBorder="1" applyFont="1">
      <alignment horizontal="center" readingOrder="0" shrinkToFit="0" vertical="center" wrapText="1"/>
    </xf>
    <xf borderId="20" fillId="8" fontId="46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bottom" wrapText="1"/>
    </xf>
    <xf borderId="20" fillId="2" fontId="1" numFmtId="0" xfId="0" applyAlignment="1" applyBorder="1" applyFont="1">
      <alignment horizontal="center" readingOrder="0" shrinkToFit="0" vertical="center" wrapText="1"/>
    </xf>
    <xf borderId="21" fillId="0" fontId="6" numFmtId="0" xfId="0" applyAlignment="1" applyBorder="1" applyFont="1">
      <alignment horizontal="center" readingOrder="0" shrinkToFit="0" wrapText="1"/>
    </xf>
    <xf borderId="21" fillId="0" fontId="47" numFmtId="0" xfId="0" applyAlignment="1" applyBorder="1" applyFont="1">
      <alignment horizontal="center" readingOrder="0" shrinkToFit="0" vertical="bottom" wrapText="1"/>
    </xf>
    <xf borderId="20" fillId="8" fontId="1" numFmtId="0" xfId="0" applyAlignment="1" applyBorder="1" applyFont="1">
      <alignment readingOrder="0" shrinkToFit="0" vertical="center" wrapText="1"/>
    </xf>
    <xf borderId="21" fillId="0" fontId="1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4" fillId="14" fontId="6" numFmtId="0" xfId="0" applyAlignment="1" applyBorder="1" applyFont="1">
      <alignment horizontal="center" vertical="bottom"/>
    </xf>
    <xf borderId="28" fillId="6" fontId="6" numFmtId="0" xfId="0" applyAlignment="1" applyBorder="1" applyFont="1">
      <alignment horizontal="center" readingOrder="0" vertical="bottom"/>
    </xf>
    <xf borderId="28" fillId="6" fontId="6" numFmtId="0" xfId="0" applyAlignment="1" applyBorder="1" applyFont="1">
      <alignment horizontal="center" readingOrder="0" vertical="bottom"/>
    </xf>
    <xf borderId="29" fillId="6" fontId="6" numFmtId="0" xfId="0" applyAlignment="1" applyBorder="1" applyFont="1">
      <alignment horizontal="center" readingOrder="0" vertical="bottom"/>
    </xf>
    <xf borderId="30" fillId="6" fontId="6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horizontal="center" vertical="bottom"/>
    </xf>
    <xf borderId="9" fillId="5" fontId="3" numFmtId="0" xfId="0" applyAlignment="1" applyBorder="1" applyFont="1">
      <alignment horizontal="center" readingOrder="0" vertical="bottom"/>
    </xf>
    <xf borderId="31" fillId="5" fontId="3" numFmtId="0" xfId="0" applyAlignment="1" applyBorder="1" applyFont="1">
      <alignment horizontal="center" readingOrder="0" vertical="bottom"/>
    </xf>
    <xf borderId="23" fillId="0" fontId="18" numFmtId="0" xfId="0" applyAlignment="1" applyBorder="1" applyFont="1">
      <alignment horizontal="center" readingOrder="0" textRotation="90" vertical="center"/>
    </xf>
    <xf borderId="20" fillId="0" fontId="6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9" fontId="1" numFmtId="0" xfId="0" applyAlignment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bottom" wrapText="1"/>
    </xf>
    <xf borderId="0" fillId="8" fontId="48" numFmtId="0" xfId="0" applyAlignment="1" applyFont="1">
      <alignment readingOrder="0" shrinkToFit="0" vertical="center" wrapText="1"/>
    </xf>
    <xf borderId="0" fillId="8" fontId="1" numFmtId="0" xfId="0" applyAlignment="1" applyFont="1">
      <alignment readingOrder="0" shrinkToFit="0" vertical="center" wrapText="1"/>
    </xf>
    <xf borderId="0" fillId="8" fontId="1" numFmtId="0" xfId="0" applyAlignment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vertical="bottom"/>
    </xf>
    <xf borderId="11" fillId="0" fontId="49" numFmtId="0" xfId="0" applyAlignment="1" applyBorder="1" applyFont="1">
      <alignment horizontal="center" readingOrder="0" vertical="bottom"/>
    </xf>
    <xf borderId="20" fillId="7" fontId="6" numFmtId="0" xfId="0" applyAlignment="1" applyBorder="1" applyFont="1">
      <alignment horizontal="center" readingOrder="0" shrinkToFit="0" vertical="bottom" wrapText="1"/>
    </xf>
    <xf borderId="0" fillId="0" fontId="50" numFmtId="0" xfId="0" applyAlignment="1" applyFont="1">
      <alignment horizontal="center" readingOrder="0" shrinkToFit="0" vertical="center" wrapText="1"/>
    </xf>
    <xf borderId="19" fillId="0" fontId="19" numFmtId="0" xfId="0" applyAlignment="1" applyBorder="1" applyFont="1">
      <alignment horizontal="center" readingOrder="0" shrinkToFit="0" textRotation="0" vertical="center" wrapText="1"/>
    </xf>
    <xf borderId="20" fillId="0" fontId="1" numFmtId="0" xfId="0" applyAlignment="1" applyBorder="1" applyFont="1">
      <alignment horizontal="center" readingOrder="0" shrinkToFit="0" vertical="bottom" wrapText="1"/>
    </xf>
    <xf borderId="0" fillId="8" fontId="6" numFmtId="0" xfId="0" applyAlignment="1" applyFont="1">
      <alignment readingOrder="0" shrinkToFit="0" vertical="center" wrapText="1"/>
    </xf>
    <xf borderId="0" fillId="8" fontId="45" numFmtId="0" xfId="0" applyAlignment="1" applyFont="1">
      <alignment horizontal="center" readingOrder="0" shrinkToFit="0" vertical="center" wrapText="1"/>
    </xf>
    <xf borderId="0" fillId="6" fontId="51" numFmtId="0" xfId="0" applyAlignment="1" applyFont="1">
      <alignment horizontal="center" readingOrder="0" vertical="bottom"/>
    </xf>
    <xf borderId="32" fillId="6" fontId="52" numFmtId="0" xfId="0" applyAlignment="1" applyBorder="1" applyFont="1">
      <alignment horizontal="center" readingOrder="0" vertical="bottom"/>
    </xf>
    <xf borderId="0" fillId="8" fontId="53" numFmtId="0" xfId="0" applyAlignment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shrinkToFit="0" vertical="bottom" wrapText="1"/>
    </xf>
    <xf borderId="11" fillId="0" fontId="1" numFmtId="0" xfId="0" applyAlignment="1" applyBorder="1" applyFont="1">
      <alignment horizontal="center" readingOrder="0" shrinkToFit="0" vertical="bottom" wrapText="1"/>
    </xf>
    <xf borderId="0" fillId="6" fontId="54" numFmtId="0" xfId="0" applyAlignment="1" applyFont="1">
      <alignment horizontal="center" readingOrder="0"/>
    </xf>
    <xf borderId="23" fillId="6" fontId="6" numFmtId="0" xfId="0" applyAlignment="1" applyBorder="1" applyFont="1">
      <alignment horizontal="center" shrinkToFit="0" wrapText="1"/>
    </xf>
    <xf borderId="22" fillId="6" fontId="6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wrapText="1"/>
    </xf>
    <xf borderId="22" fillId="0" fontId="6" numFmtId="0" xfId="0" applyAlignment="1" applyBorder="1" applyFont="1">
      <alignment horizontal="center" shrinkToFit="0" wrapText="1"/>
    </xf>
    <xf borderId="0" fillId="0" fontId="6" numFmtId="0" xfId="0" applyFont="1"/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0" fillId="0" fontId="55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11" fillId="0" fontId="56" numFmtId="0" xfId="0" applyAlignment="1" applyBorder="1" applyFont="1">
      <alignment horizontal="center" readingOrder="0" shrinkToFit="0" vertical="bottom" wrapText="1"/>
    </xf>
    <xf borderId="23" fillId="0" fontId="6" numFmtId="0" xfId="0" applyAlignment="1" applyBorder="1" applyFont="1">
      <alignment horizontal="center" readingOrder="0" shrinkToFit="0" wrapText="1"/>
    </xf>
    <xf borderId="1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21" numFmtId="0" xfId="0" applyAlignment="1" applyFont="1">
      <alignment readingOrder="0" shrinkToFit="0" wrapText="1"/>
    </xf>
    <xf borderId="4" fillId="6" fontId="1" numFmtId="0" xfId="0" applyAlignment="1" applyBorder="1" applyFont="1">
      <alignment horizontal="center" readingOrder="0" vertical="bottom"/>
    </xf>
    <xf borderId="0" fillId="0" fontId="57" numFmtId="0" xfId="0" applyAlignment="1" applyFont="1">
      <alignment horizontal="center" readingOrder="0" shrinkToFit="0" vertical="bottom" wrapText="1"/>
    </xf>
    <xf borderId="4" fillId="6" fontId="1" numFmtId="0" xfId="0" applyAlignment="1" applyBorder="1" applyFont="1">
      <alignment horizontal="center" readingOrder="0" vertical="bottom"/>
    </xf>
    <xf borderId="0" fillId="0" fontId="58" numFmtId="0" xfId="0" applyAlignment="1" applyFont="1">
      <alignment readingOrder="0" shrinkToFit="0" wrapText="1"/>
    </xf>
    <xf borderId="4" fillId="6" fontId="45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shrinkToFit="0" wrapText="1"/>
    </xf>
    <xf borderId="0" fillId="6" fontId="1" numFmtId="0" xfId="0" applyAlignment="1" applyFont="1">
      <alignment horizontal="center" readingOrder="0"/>
    </xf>
    <xf borderId="4" fillId="6" fontId="6" numFmtId="0" xfId="0" applyAlignment="1" applyBorder="1" applyFont="1">
      <alignment horizontal="center" readingOrder="0"/>
    </xf>
    <xf borderId="0" fillId="0" fontId="59" numFmtId="0" xfId="0" applyAlignment="1" applyFont="1">
      <alignment readingOrder="0" shrinkToFit="0" wrapText="1"/>
    </xf>
    <xf borderId="4" fillId="6" fontId="1" numFmtId="0" xfId="0" applyAlignment="1" applyBorder="1" applyFont="1">
      <alignment horizontal="center" readingOrder="0" vertical="bottom"/>
    </xf>
    <xf borderId="28" fillId="6" fontId="6" numFmtId="0" xfId="0" applyAlignment="1" applyBorder="1" applyFont="1">
      <alignment horizontal="center" vertical="bottom"/>
    </xf>
    <xf borderId="28" fillId="14" fontId="6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shrinkToFit="0" vertical="bottom" wrapText="1"/>
    </xf>
    <xf borderId="7" fillId="6" fontId="1" numFmtId="0" xfId="0" applyAlignment="1" applyBorder="1" applyFont="1">
      <alignment horizontal="center" readingOrder="0" vertical="bottom"/>
    </xf>
    <xf borderId="5" fillId="6" fontId="1" numFmtId="0" xfId="0" applyAlignment="1" applyBorder="1" applyFont="1">
      <alignment horizontal="center" readingOrder="0" vertical="bottom"/>
    </xf>
    <xf borderId="5" fillId="6" fontId="60" numFmtId="0" xfId="0" applyAlignment="1" applyBorder="1" applyFont="1">
      <alignment horizontal="center" readingOrder="0" vertical="bottom"/>
    </xf>
    <xf borderId="5" fillId="6" fontId="1" numFmtId="0" xfId="0" applyAlignment="1" applyBorder="1" applyFont="1">
      <alignment horizontal="center" readingOrder="0" vertical="bottom"/>
    </xf>
    <xf borderId="5" fillId="6" fontId="6" numFmtId="0" xfId="0" applyAlignment="1" applyBorder="1" applyFont="1">
      <alignment horizontal="center" readingOrder="0"/>
    </xf>
    <xf borderId="4" fillId="6" fontId="1" numFmtId="0" xfId="0" applyAlignment="1" applyBorder="1" applyFont="1">
      <alignment horizontal="center" readingOrder="0" vertical="bottom"/>
    </xf>
    <xf borderId="4" fillId="6" fontId="45" numFmtId="0" xfId="0" applyAlignment="1" applyBorder="1" applyFont="1">
      <alignment horizontal="center" readingOrder="0" vertical="bottom"/>
    </xf>
    <xf borderId="0" fillId="6" fontId="1" numFmtId="0" xfId="0" applyFont="1"/>
    <xf borderId="4" fillId="6" fontId="1" numFmtId="0" xfId="0" applyAlignment="1" applyBorder="1" applyFont="1">
      <alignment horizontal="center" readingOrder="0" shrinkToFit="0" vertical="bottom" wrapText="1"/>
    </xf>
    <xf borderId="5" fillId="6" fontId="45" numFmtId="0" xfId="0" applyAlignment="1" applyBorder="1" applyFont="1">
      <alignment horizontal="center" readingOrder="0" vertical="bottom"/>
    </xf>
    <xf borderId="4" fillId="9" fontId="6" numFmtId="0" xfId="0" applyAlignment="1" applyBorder="1" applyFont="1">
      <alignment horizontal="center" vertical="bottom"/>
    </xf>
    <xf borderId="28" fillId="9" fontId="6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/>
    </xf>
    <xf borderId="28" fillId="0" fontId="6" numFmtId="0" xfId="0" applyAlignment="1" applyBorder="1" applyFont="1">
      <alignment horizontal="center" vertical="bottom"/>
    </xf>
    <xf borderId="28" fillId="6" fontId="6" numFmtId="0" xfId="0" applyAlignment="1" applyBorder="1" applyFont="1">
      <alignment vertical="bottom"/>
    </xf>
    <xf borderId="4" fillId="0" fontId="1" numFmtId="0" xfId="0" applyAlignment="1" applyBorder="1" applyFont="1">
      <alignment horizontal="center" readingOrder="0" vertical="bottom"/>
    </xf>
    <xf borderId="28" fillId="6" fontId="61" numFmtId="0" xfId="0" applyAlignment="1" applyBorder="1" applyFont="1">
      <alignment horizontal="center" readingOrder="0" vertical="bottom"/>
    </xf>
    <xf borderId="4" fillId="6" fontId="62" numFmtId="0" xfId="0" applyAlignment="1" applyBorder="1" applyFont="1">
      <alignment horizontal="center" readingOrder="0" vertical="bottom"/>
    </xf>
    <xf borderId="28" fillId="9" fontId="63" numFmtId="0" xfId="0" applyAlignment="1" applyBorder="1" applyFont="1">
      <alignment horizontal="center" readingOrder="0" vertical="bottom"/>
    </xf>
    <xf borderId="30" fillId="6" fontId="6" numFmtId="0" xfId="0" applyAlignment="1" applyBorder="1" applyFont="1">
      <alignment horizontal="center" vertical="bottom"/>
    </xf>
    <xf borderId="30" fillId="9" fontId="6" numFmtId="0" xfId="0" applyAlignment="1" applyBorder="1" applyFont="1">
      <alignment horizontal="center" vertical="bottom"/>
    </xf>
    <xf borderId="28" fillId="34" fontId="6" numFmtId="0" xfId="0" applyAlignment="1" applyBorder="1" applyFill="1" applyFont="1">
      <alignment horizontal="center" vertical="bottom"/>
    </xf>
    <xf borderId="4" fillId="9" fontId="1" numFmtId="0" xfId="0" applyAlignment="1" applyBorder="1" applyFont="1">
      <alignment horizontal="center" readingOrder="0" vertical="bottom"/>
    </xf>
    <xf borderId="4" fillId="9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4" fillId="9" fontId="6" numFmtId="0" xfId="0" applyAlignment="1" applyBorder="1" applyFont="1">
      <alignment horizontal="center" readingOrder="0"/>
    </xf>
    <xf borderId="4" fillId="9" fontId="1" numFmtId="0" xfId="0" applyAlignment="1" applyBorder="1" applyFont="1">
      <alignment horizontal="center" readingOrder="0" vertical="bottom"/>
    </xf>
    <xf borderId="4" fillId="9" fontId="64" numFmtId="0" xfId="0" applyAlignment="1" applyBorder="1" applyFont="1">
      <alignment horizontal="center" readingOrder="0" vertical="bottom"/>
    </xf>
    <xf borderId="4" fillId="35" fontId="1" numFmtId="0" xfId="0" applyAlignment="1" applyBorder="1" applyFill="1" applyFont="1">
      <alignment horizontal="center" readingOrder="0" vertical="bottom"/>
    </xf>
    <xf borderId="4" fillId="2" fontId="1" numFmtId="0" xfId="0" applyAlignment="1" applyBorder="1" applyFont="1">
      <alignment horizontal="center" readingOrder="0" vertical="bottom"/>
    </xf>
    <xf borderId="15" fillId="6" fontId="1" numFmtId="0" xfId="0" applyAlignment="1" applyBorder="1" applyFont="1">
      <alignment horizontal="center" readingOrder="0" vertical="bottom"/>
    </xf>
    <xf borderId="28" fillId="6" fontId="1" numFmtId="0" xfId="0" applyAlignment="1" applyBorder="1" applyFont="1">
      <alignment horizontal="center" readingOrder="0" vertical="bottom"/>
    </xf>
    <xf borderId="5" fillId="9" fontId="1" numFmtId="0" xfId="0" applyAlignment="1" applyBorder="1" applyFont="1">
      <alignment horizontal="center" readingOrder="0" vertical="bottom"/>
    </xf>
    <xf borderId="4" fillId="2" fontId="45" numFmtId="0" xfId="0" applyAlignment="1" applyBorder="1" applyFont="1">
      <alignment horizontal="center" readingOrder="0" vertical="bottom"/>
    </xf>
    <xf borderId="5" fillId="6" fontId="1" numFmtId="0" xfId="0" applyAlignment="1" applyBorder="1" applyFont="1">
      <alignment horizontal="center" readingOrder="0" shrinkToFit="0" vertical="bottom" wrapText="1"/>
    </xf>
    <xf borderId="5" fillId="6" fontId="1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horizontal="center" readingOrder="0" vertical="bottom"/>
    </xf>
    <xf borderId="23" fillId="7" fontId="6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vertical="bottom"/>
    </xf>
    <xf borderId="4" fillId="6" fontId="65" numFmtId="0" xfId="0" applyAlignment="1" applyBorder="1" applyFont="1">
      <alignment horizontal="center" readingOrder="0"/>
    </xf>
    <xf borderId="4" fillId="6" fontId="7" numFmtId="0" xfId="0" applyAlignment="1" applyBorder="1" applyFont="1">
      <alignment horizontal="center" readingOrder="0"/>
    </xf>
    <xf borderId="4" fillId="6" fontId="45" numFmtId="0" xfId="0" applyAlignment="1" applyBorder="1" applyFont="1">
      <alignment horizontal="center" readingOrder="0" shrinkToFit="0" vertical="bottom" wrapText="1"/>
    </xf>
    <xf borderId="4" fillId="35" fontId="6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 vertical="bottom"/>
    </xf>
    <xf borderId="4" fillId="6" fontId="1" numFmtId="0" xfId="0" applyAlignment="1" applyBorder="1" applyFont="1">
      <alignment horizontal="center" readingOrder="0"/>
    </xf>
    <xf borderId="4" fillId="9" fontId="1" numFmtId="0" xfId="0" applyAlignment="1" applyBorder="1" applyFont="1">
      <alignment horizontal="center" readingOrder="0" shrinkToFit="0" vertical="bottom" wrapText="1"/>
    </xf>
    <xf borderId="4" fillId="6" fontId="66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horizontal="center" readingOrder="0" shrinkToFit="0" vertical="bottom" wrapText="1"/>
    </xf>
    <xf borderId="5" fillId="35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20" fillId="7" fontId="34" numFmtId="0" xfId="0" applyAlignment="1" applyBorder="1" applyFont="1">
      <alignment horizontal="center" shrinkToFit="0" vertical="bottom" wrapText="1"/>
    </xf>
    <xf borderId="5" fillId="9" fontId="1" numFmtId="0" xfId="0" applyAlignment="1" applyBorder="1" applyFont="1">
      <alignment horizontal="center" readingOrder="0" shrinkToFit="0" vertical="bottom" wrapText="1"/>
    </xf>
    <xf borderId="4" fillId="6" fontId="1" numFmtId="0" xfId="0" applyAlignment="1" applyBorder="1" applyFont="1">
      <alignment horizontal="center" readingOrder="0" shrinkToFit="0" vertical="bottom" wrapText="1"/>
    </xf>
    <xf borderId="5" fillId="6" fontId="1" numFmtId="0" xfId="0" applyAlignment="1" applyBorder="1" applyFont="1">
      <alignment horizontal="center" readingOrder="0" shrinkToFit="0" vertical="bottom" wrapText="1"/>
    </xf>
    <xf borderId="4" fillId="9" fontId="1" numFmtId="0" xfId="0" applyAlignment="1" applyBorder="1" applyFont="1">
      <alignment horizontal="center" readingOrder="0" shrinkToFit="0" vertical="bottom" wrapText="1"/>
    </xf>
    <xf borderId="4" fillId="0" fontId="67" numFmtId="0" xfId="0" applyAlignment="1" applyBorder="1" applyFont="1">
      <alignment horizontal="center" readingOrder="0"/>
    </xf>
    <xf borderId="4" fillId="14" fontId="68" numFmtId="0" xfId="0" applyAlignment="1" applyBorder="1" applyFont="1">
      <alignment horizontal="center" readingOrder="0" vertical="bottom"/>
    </xf>
    <xf borderId="10" fillId="6" fontId="7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4" fillId="35" fontId="45" numFmtId="0" xfId="0" applyAlignment="1" applyBorder="1" applyFont="1">
      <alignment horizontal="center" readingOrder="0" shrinkToFit="0" vertical="bottom" wrapText="1"/>
    </xf>
    <xf borderId="0" fillId="6" fontId="69" numFmtId="0" xfId="0" applyAlignment="1" applyFont="1">
      <alignment horizontal="center" readingOrder="0"/>
    </xf>
    <xf borderId="4" fillId="9" fontId="70" numFmtId="0" xfId="0" applyAlignment="1" applyBorder="1" applyFont="1">
      <alignment horizontal="center" readingOrder="0"/>
    </xf>
    <xf borderId="0" fillId="0" fontId="71" numFmtId="0" xfId="0" applyAlignment="1" applyFont="1">
      <alignment horizontal="center" readingOrder="0"/>
    </xf>
    <xf borderId="4" fillId="35" fontId="72" numFmtId="0" xfId="0" applyAlignment="1" applyBorder="1" applyFont="1">
      <alignment horizontal="center" readingOrder="0" vertical="bottom"/>
    </xf>
    <xf borderId="0" fillId="6" fontId="73" numFmtId="0" xfId="0" applyAlignment="1" applyFont="1">
      <alignment horizontal="left" readingOrder="0"/>
    </xf>
    <xf borderId="5" fillId="9" fontId="1" numFmtId="0" xfId="0" applyAlignment="1" applyBorder="1" applyFont="1">
      <alignment horizontal="center" readingOrder="0" shrinkToFit="0" vertical="bottom" wrapText="1"/>
    </xf>
    <xf borderId="5" fillId="6" fontId="45" numFmtId="0" xfId="0" applyAlignment="1" applyBorder="1" applyFont="1">
      <alignment horizontal="center" readingOrder="0" shrinkToFit="0" vertical="bottom" wrapText="1"/>
    </xf>
    <xf borderId="4" fillId="2" fontId="74" numFmtId="0" xfId="0" applyAlignment="1" applyBorder="1" applyFont="1">
      <alignment horizontal="center" readingOrder="0" shrinkToFit="0" vertical="bottom" wrapText="1"/>
    </xf>
    <xf borderId="20" fillId="31" fontId="6" numFmtId="0" xfId="0" applyAlignment="1" applyBorder="1" applyFont="1">
      <alignment horizontal="center" vertical="bottom"/>
    </xf>
    <xf borderId="4" fillId="4" fontId="75" numFmtId="0" xfId="0" applyAlignment="1" applyBorder="1" applyFont="1">
      <alignment horizontal="center" readingOrder="0" vertical="bottom"/>
    </xf>
    <xf borderId="5" fillId="9" fontId="76" numFmtId="0" xfId="0" applyAlignment="1" applyBorder="1" applyFont="1">
      <alignment horizontal="center" readingOrder="0" vertical="bottom"/>
    </xf>
    <xf borderId="4" fillId="6" fontId="77" numFmtId="0" xfId="0" applyAlignment="1" applyBorder="1" applyFont="1">
      <alignment horizontal="center" readingOrder="0" vertical="bottom"/>
    </xf>
    <xf borderId="20" fillId="0" fontId="6" numFmtId="0" xfId="0" applyAlignment="1" applyBorder="1" applyFont="1">
      <alignment horizontal="center" shrinkToFit="0" wrapText="1"/>
    </xf>
    <xf borderId="4" fillId="6" fontId="78" numFmtId="0" xfId="0" applyAlignment="1" applyBorder="1" applyFont="1">
      <alignment readingOrder="0"/>
    </xf>
    <xf borderId="4" fillId="6" fontId="79" numFmtId="0" xfId="0" applyAlignment="1" applyBorder="1" applyFont="1">
      <alignment horizontal="center" readingOrder="0"/>
    </xf>
    <xf borderId="5" fillId="35" fontId="80" numFmtId="0" xfId="0" applyAlignment="1" applyBorder="1" applyFont="1">
      <alignment horizontal="center" readingOrder="0" vertical="bottom"/>
    </xf>
    <xf borderId="5" fillId="2" fontId="45" numFmtId="0" xfId="0" applyAlignment="1" applyBorder="1" applyFont="1">
      <alignment horizontal="center" readingOrder="0" shrinkToFit="0" vertical="bottom" wrapText="1"/>
    </xf>
    <xf borderId="33" fillId="0" fontId="5" numFmtId="0" xfId="0" applyAlignment="1" applyBorder="1" applyFont="1">
      <alignment horizontal="center" vertical="bottom"/>
    </xf>
    <xf borderId="33" fillId="0" fontId="2" numFmtId="0" xfId="0" applyBorder="1" applyFont="1"/>
    <xf borderId="20" fillId="32" fontId="6" numFmtId="0" xfId="0" applyAlignment="1" applyBorder="1" applyFont="1">
      <alignment horizontal="center" readingOrder="0" vertical="bottom"/>
    </xf>
    <xf borderId="20" fillId="0" fontId="6" numFmtId="0" xfId="0" applyAlignment="1" applyBorder="1" applyFont="1">
      <alignment horizontal="center" vertical="bottom"/>
    </xf>
    <xf borderId="4" fillId="36" fontId="81" numFmtId="0" xfId="0" applyAlignment="1" applyBorder="1" applyFill="1" applyFont="1">
      <alignment horizontal="center" readingOrder="0"/>
    </xf>
    <xf borderId="28" fillId="9" fontId="82" numFmtId="0" xfId="0" applyAlignment="1" applyBorder="1" applyFont="1">
      <alignment horizontal="center" readingOrder="0" vertical="bottom"/>
    </xf>
    <xf borderId="4" fillId="6" fontId="1" numFmtId="0" xfId="0" applyAlignment="1" applyBorder="1" applyFont="1">
      <alignment horizontal="center" readingOrder="0" vertical="center"/>
    </xf>
    <xf borderId="4" fillId="36" fontId="83" numFmtId="0" xfId="0" applyAlignment="1" applyBorder="1" applyFont="1">
      <alignment horizontal="center" readingOrder="0" vertical="bottom"/>
    </xf>
    <xf borderId="4" fillId="35" fontId="84" numFmtId="0" xfId="0" applyAlignment="1" applyBorder="1" applyFont="1">
      <alignment horizontal="center" readingOrder="0" vertical="bottom"/>
    </xf>
    <xf borderId="4" fillId="6" fontId="1" numFmtId="0" xfId="0" applyAlignment="1" applyBorder="1" applyFont="1">
      <alignment horizontal="center" vertical="bottom"/>
    </xf>
    <xf borderId="0" fillId="6" fontId="85" numFmtId="0" xfId="0" applyAlignment="1" applyFont="1">
      <alignment readingOrder="0"/>
    </xf>
    <xf borderId="4" fillId="9" fontId="86" numFmtId="0" xfId="0" applyAlignment="1" applyBorder="1" applyFont="1">
      <alignment horizontal="center" readingOrder="0" vertical="bottom"/>
    </xf>
    <xf borderId="11" fillId="6" fontId="87" numFmtId="0" xfId="0" applyAlignment="1" applyBorder="1" applyFont="1">
      <alignment horizontal="center" readingOrder="0" vertical="bottom"/>
    </xf>
    <xf borderId="0" fillId="11" fontId="35" numFmtId="0" xfId="0" applyAlignment="1" applyFont="1">
      <alignment readingOrder="0" shrinkToFit="0" vertical="center" wrapText="1"/>
    </xf>
    <xf borderId="11" fillId="6" fontId="1" numFmtId="0" xfId="0" applyAlignment="1" applyBorder="1" applyFont="1">
      <alignment horizontal="center" readingOrder="0" vertical="bottom"/>
    </xf>
    <xf borderId="20" fillId="6" fontId="88" numFmtId="0" xfId="0" applyAlignment="1" applyBorder="1" applyFont="1">
      <alignment horizontal="center" shrinkToFit="0" vertical="bottom" wrapText="1"/>
    </xf>
    <xf borderId="4" fillId="4" fontId="1" numFmtId="0" xfId="0" applyAlignment="1" applyBorder="1" applyFont="1">
      <alignment horizontal="center" readingOrder="0" vertical="center"/>
    </xf>
    <xf borderId="4" fillId="9" fontId="45" numFmtId="0" xfId="0" applyAlignment="1" applyBorder="1" applyFont="1">
      <alignment horizontal="center" readingOrder="0" shrinkToFit="0" vertical="bottom" wrapText="1"/>
    </xf>
    <xf borderId="4" fillId="3" fontId="89" numFmtId="0" xfId="0" applyAlignment="1" applyBorder="1" applyFont="1">
      <alignment horizontal="center" readingOrder="0" vertical="bottom"/>
    </xf>
    <xf borderId="7" fillId="6" fontId="1" numFmtId="0" xfId="0" applyAlignment="1" applyBorder="1" applyFont="1">
      <alignment horizontal="center" readingOrder="0" vertical="bottom"/>
    </xf>
    <xf borderId="7" fillId="6" fontId="90" numFmtId="0" xfId="0" applyAlignment="1" applyBorder="1" applyFont="1">
      <alignment horizontal="center" readingOrder="0" vertical="bottom"/>
    </xf>
    <xf borderId="4" fillId="0" fontId="91" numFmtId="0" xfId="0" applyAlignment="1" applyBorder="1" applyFont="1">
      <alignment horizontal="center" readingOrder="0" vertical="bottom"/>
    </xf>
    <xf borderId="4" fillId="3" fontId="92" numFmtId="0" xfId="0" applyAlignment="1" applyBorder="1" applyFont="1">
      <alignment horizontal="center" readingOrder="0" vertical="bottom"/>
    </xf>
    <xf borderId="7" fillId="6" fontId="1" numFmtId="0" xfId="0" applyAlignment="1" applyBorder="1" applyFont="1">
      <alignment horizontal="center" vertical="bottom"/>
    </xf>
    <xf borderId="4" fillId="9" fontId="45" numFmtId="0" xfId="0" applyAlignment="1" applyBorder="1" applyFont="1">
      <alignment horizontal="center" readingOrder="0" shrinkToFit="0" vertical="bottom" wrapText="1"/>
    </xf>
    <xf borderId="15" fillId="9" fontId="93" numFmtId="0" xfId="0" applyAlignment="1" applyBorder="1" applyFont="1">
      <alignment horizontal="center" readingOrder="0" vertical="bottom"/>
    </xf>
    <xf borderId="5" fillId="6" fontId="1" numFmtId="0" xfId="0" applyAlignment="1" applyBorder="1" applyFont="1">
      <alignment horizontal="center" vertical="bottom"/>
    </xf>
    <xf borderId="4" fillId="9" fontId="45" numFmtId="0" xfId="0" applyAlignment="1" applyBorder="1" applyFont="1">
      <alignment horizontal="center" readingOrder="0" shrinkToFit="0" wrapText="1"/>
    </xf>
    <xf borderId="28" fillId="9" fontId="94" numFmtId="0" xfId="0" applyAlignment="1" applyBorder="1" applyFont="1">
      <alignment horizontal="center" readingOrder="0" vertical="bottom"/>
    </xf>
    <xf borderId="11" fillId="35" fontId="95" numFmtId="0" xfId="0" applyAlignment="1" applyBorder="1" applyFont="1">
      <alignment horizontal="center" readingOrder="0" vertical="bottom"/>
    </xf>
    <xf borderId="11" fillId="9" fontId="96" numFmtId="0" xfId="0" applyAlignment="1" applyBorder="1" applyFont="1">
      <alignment horizontal="center" readingOrder="0" vertical="bottom"/>
    </xf>
    <xf borderId="4" fillId="9" fontId="45" numFmtId="0" xfId="0" applyAlignment="1" applyBorder="1" applyFont="1">
      <alignment horizontal="center" readingOrder="0" shrinkToFit="0" vertical="bottom" wrapText="1"/>
    </xf>
    <xf borderId="4" fillId="14" fontId="1" numFmtId="0" xfId="0" applyAlignment="1" applyBorder="1" applyFont="1">
      <alignment horizontal="center" readingOrder="0" vertical="bottom"/>
    </xf>
    <xf borderId="21" fillId="0" fontId="3" numFmtId="0" xfId="0" applyAlignment="1" applyBorder="1" applyFont="1">
      <alignment horizontal="center" readingOrder="0" vertical="bottom"/>
    </xf>
    <xf borderId="20" fillId="13" fontId="1" numFmtId="0" xfId="0" applyAlignment="1" applyBorder="1" applyFont="1">
      <alignment horizontal="center" readingOrder="0" vertical="bottom"/>
    </xf>
    <xf borderId="20" fillId="14" fontId="1" numFmtId="0" xfId="0" applyAlignment="1" applyBorder="1" applyFont="1">
      <alignment horizontal="center" readingOrder="0" vertical="bottom"/>
    </xf>
    <xf borderId="20" fillId="15" fontId="1" numFmtId="0" xfId="0" applyAlignment="1" applyBorder="1" applyFont="1">
      <alignment horizontal="center" readingOrder="0" vertical="bottom"/>
    </xf>
    <xf borderId="20" fillId="16" fontId="1" numFmtId="0" xfId="0" applyAlignment="1" applyBorder="1" applyFont="1">
      <alignment horizontal="center" readingOrder="0" vertical="bottom"/>
    </xf>
    <xf borderId="20" fillId="30" fontId="1" numFmtId="0" xfId="0" applyAlignment="1" applyBorder="1" applyFont="1">
      <alignment horizontal="center" readingOrder="0" vertical="bottom"/>
    </xf>
    <xf borderId="20" fillId="18" fontId="1" numFmtId="0" xfId="0" applyAlignment="1" applyBorder="1" applyFont="1">
      <alignment horizontal="center" readingOrder="0" vertical="bottom"/>
    </xf>
    <xf borderId="20" fillId="17" fontId="1" numFmtId="0" xfId="0" applyAlignment="1" applyBorder="1" applyFont="1">
      <alignment horizontal="center" readingOrder="0" vertical="bottom"/>
    </xf>
    <xf borderId="20" fillId="20" fontId="1" numFmtId="0" xfId="0" applyAlignment="1" applyBorder="1" applyFont="1">
      <alignment horizontal="center" readingOrder="0" vertical="bottom"/>
    </xf>
    <xf borderId="20" fillId="21" fontId="1" numFmtId="0" xfId="0" applyAlignment="1" applyBorder="1" applyFont="1">
      <alignment horizontal="center" readingOrder="0" vertical="bottom"/>
    </xf>
    <xf borderId="20" fillId="2" fontId="1" numFmtId="0" xfId="0" applyAlignment="1" applyBorder="1" applyFont="1">
      <alignment horizontal="center" readingOrder="0" vertical="bottom"/>
    </xf>
    <xf borderId="20" fillId="22" fontId="1" numFmtId="0" xfId="0" applyAlignment="1" applyBorder="1" applyFont="1">
      <alignment horizontal="center" readingOrder="0" vertical="bottom"/>
    </xf>
    <xf borderId="20" fillId="3" fontId="1" numFmtId="0" xfId="0" applyAlignment="1" applyBorder="1" applyFont="1">
      <alignment horizontal="center" readingOrder="0" vertical="bottom"/>
    </xf>
    <xf borderId="20" fillId="27" fontId="1" numFmtId="0" xfId="0" applyAlignment="1" applyBorder="1" applyFont="1">
      <alignment horizontal="center" readingOrder="0" vertical="bottom"/>
    </xf>
    <xf borderId="20" fillId="24" fontId="1" numFmtId="0" xfId="0" applyAlignment="1" applyBorder="1" applyFont="1">
      <alignment horizontal="center" readingOrder="0" vertical="bottom"/>
    </xf>
    <xf borderId="20" fillId="31" fontId="1" numFmtId="0" xfId="0" applyAlignment="1" applyBorder="1" applyFont="1">
      <alignment horizontal="center" readingOrder="0" vertical="bottom"/>
    </xf>
    <xf borderId="20" fillId="26" fontId="1" numFmtId="0" xfId="0" applyAlignment="1" applyBorder="1" applyFont="1">
      <alignment horizontal="center" readingOrder="0" vertical="bottom"/>
    </xf>
    <xf borderId="20" fillId="29" fontId="1" numFmtId="0" xfId="0" applyAlignment="1" applyBorder="1" applyFont="1">
      <alignment horizontal="center" readingOrder="0" vertical="bottom"/>
    </xf>
    <xf borderId="20" fillId="28" fontId="1" numFmtId="0" xfId="0" applyAlignment="1" applyBorder="1" applyFont="1">
      <alignment horizontal="center" readingOrder="0" vertical="bottom"/>
    </xf>
    <xf borderId="20" fillId="33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26">
    <dxf>
      <font/>
      <fill>
        <patternFill patternType="solid">
          <fgColor rgb="FF5B9FAE"/>
          <bgColor rgb="FF5B9FAE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6F5858"/>
          <bgColor rgb="FF6F5858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CB95B1"/>
          <bgColor rgb="FFCB95B1"/>
        </patternFill>
      </fill>
      <border/>
    </dxf>
    <dxf>
      <font/>
      <fill>
        <patternFill patternType="solid">
          <fgColor rgb="FF3D4E71"/>
          <bgColor rgb="FF3D4E71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B25590"/>
          <bgColor rgb="FFB25590"/>
        </patternFill>
      </fill>
      <border/>
    </dxf>
    <dxf>
      <font/>
      <fill>
        <patternFill patternType="solid">
          <fgColor rgb="FF635353"/>
          <bgColor rgb="FF635353"/>
        </patternFill>
      </fill>
      <border/>
    </dxf>
    <dxf>
      <font/>
      <fill>
        <patternFill patternType="solid">
          <fgColor rgb="FF7F905A"/>
          <bgColor rgb="FF7F905A"/>
        </patternFill>
      </fill>
      <border/>
    </dxf>
    <dxf>
      <font/>
      <fill>
        <patternFill patternType="solid">
          <fgColor rgb="FF816310"/>
          <bgColor rgb="FF816310"/>
        </patternFill>
      </fill>
      <border/>
    </dxf>
    <dxf>
      <font/>
      <fill>
        <patternFill patternType="solid">
          <fgColor rgb="FFC0FFFA"/>
          <bgColor rgb="FFC0FFFA"/>
        </patternFill>
      </fill>
      <border/>
    </dxf>
    <dxf>
      <font/>
      <fill>
        <patternFill patternType="solid">
          <fgColor rgb="FFB68299"/>
          <bgColor rgb="FFB68299"/>
        </patternFill>
      </fill>
      <border/>
    </dxf>
    <dxf>
      <font/>
      <fill>
        <patternFill patternType="solid">
          <fgColor rgb="FF00FAFF"/>
          <bgColor rgb="FF00FAFF"/>
        </patternFill>
      </fill>
      <border/>
    </dxf>
    <dxf>
      <font/>
      <fill>
        <patternFill patternType="solid">
          <fgColor rgb="FFD2D203"/>
          <bgColor rgb="FFD2D203"/>
        </patternFill>
      </fill>
      <border/>
    </dxf>
    <dxf>
      <font/>
      <fill>
        <patternFill patternType="solid">
          <fgColor rgb="FFD1A989"/>
          <bgColor rgb="FFD1A989"/>
        </patternFill>
      </fill>
      <border/>
    </dxf>
    <dxf>
      <font/>
      <fill>
        <patternFill patternType="solid">
          <fgColor rgb="FF90EE90"/>
          <bgColor rgb="FF90EE9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6100"/>
          <bgColor rgb="FFFF6100"/>
        </patternFill>
      </fill>
      <border/>
    </dxf>
    <dxf>
      <font/>
      <fill>
        <patternFill patternType="solid">
          <fgColor rgb="FFFF8300"/>
          <bgColor rgb="FFFF8300"/>
        </patternFill>
      </fill>
      <border/>
    </dxf>
    <dxf>
      <font/>
      <fill>
        <patternFill patternType="solid">
          <fgColor rgb="FF00FF2A"/>
          <bgColor rgb="FF00FF2A"/>
        </patternFill>
      </fill>
      <border/>
    </dxf>
    <dxf>
      <font/>
      <fill>
        <patternFill patternType="solid">
          <fgColor rgb="FFF600FF"/>
          <bgColor rgb="FFF600FF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961C35"/>
          <bgColor rgb="FF961C3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Pass Status for MS Edge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80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808080"/>
              </a:solidFill>
            </c:spPr>
          </c:dPt>
          <c:dPt>
            <c:idx val="3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Models!$A$165:$A$168</c:f>
            </c:strRef>
          </c:cat>
          <c:val>
            <c:numRef>
              <c:f>Models!$B$165:$B$168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Pass Status for Firefox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80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808080"/>
              </a:solidFill>
            </c:spPr>
          </c:dPt>
          <c:dPt>
            <c:idx val="3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Models!$A$165:$A$168</c:f>
            </c:strRef>
          </c:cat>
          <c:val>
            <c:numRef>
              <c:f>Models!$C$165:$C$168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Pass Status for Chrome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80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808080"/>
              </a:solidFill>
            </c:spPr>
          </c:dPt>
          <c:dPt>
            <c:idx val="3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Models!$A$165:$A$168</c:f>
            </c:strRef>
          </c:cat>
          <c:val>
            <c:numRef>
              <c:f>Models!$D$165:$D$168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ocumenttasks/documenttask1.xml><?xml version="1.0" encoding="utf-8"?>
<Tasks xmlns="http://schemas.microsoft.com/office/tasks/2019/documenttasks">
  <Task id="{da101d1d-1db6-4b78-919a-3803e3496ea8}">
    <Anchor>
      <Comment id="{a19f531a-3704-43bb-8059-15796bf7a8cc}"/>
    </Anchor>
    <History>
      <Event time="2022-03-02T13:46:50.00" id="{9a9bf1e8-cf82-4712-befe-aa3460750a8a}">
        <Attribution userId="placeholder@email.com" userName="Nitin Thukral" userProvider="google-sheets"/>
        <Anchor>
          <Comment id="{a19f531a-3704-43bb-8059-15796bf7a8cc}"/>
        </Anchor>
        <Create/>
      </Event>
      <Event time="2022-03-02T13:46:50.00" id="{57e337cc-dd78-4664-b379-381870d489ba}">
        <Attribution userId="placeholder@email.com" userName="Nitin Thukral" userProvider="google-sheets"/>
        <Anchor>
          <Comment id="{a19f531a-3704-43bb-8059-15796bf7a8cc}"/>
        </Anchor>
        <Assign userId="chatterj@schrodinger.com" userName="chatterj@schrodinger.com" userProvider="google-sheets"/>
      </Event>
    </History>
  </Task>
  <Task id="{f58733c5-176c-4bd8-acce-72ed3f7c621c}">
    <Anchor>
      <Comment id="{e1e93905-76b1-439e-9775-d2cc9cdd33f7}"/>
    </Anchor>
    <History>
      <Event time="2022-03-02T14:40:48.00" id="{be5060b5-d7e0-4b62-8a74-dadb21ec91ac}">
        <Attribution userId="placeholder@email.com" userName="Nitin Thukral" userProvider="google-sheets"/>
        <Anchor>
          <Comment id="{e1e93905-76b1-439e-9775-d2cc9cdd33f7}"/>
        </Anchor>
        <Create/>
      </Event>
      <Event time="2022-03-02T14:40:48.00" id="{73012e81-271f-4fd9-82f2-96a1558e4119}">
        <Attribution userId="placeholder@email.com" userName="Nitin Thukral" userProvider="google-sheets"/>
        <Anchor>
          <Comment id="{e1e93905-76b1-439e-9775-d2cc9cdd33f7}"/>
        </Anchor>
        <Assign userId="chatterj@schrodinger.com" userName="chatterj@schrodinger.com" userProvider="google-sheets"/>
      </Event>
    </History>
  </Task>
  <Task id="{9035bfd2-f9e3-433c-96d7-3b762a0859b8}">
    <Anchor>
      <Comment id="{e813580f-0a64-462e-9635-27ea9e18b94f}"/>
    </Anchor>
    <History>
      <Event time="2022-03-01T15:54:28.00" id="{731a7a68-60c8-49dd-a1e7-4c6c892340db}">
        <Attribution userId="placeholder@email.com" userName="Nitin Thukral" userProvider="google-sheets"/>
        <Anchor>
          <Comment id="{e813580f-0a64-462e-9635-27ea9e18b94f}"/>
        </Anchor>
        <Create/>
      </Event>
      <Event time="2022-03-01T15:54:28.00" id="{ff204c67-29d0-49a1-875e-0fda6c160e15}">
        <Attribution userId="placeholder@email.com" userName="Nitin Thukral" userProvider="google-sheets"/>
        <Anchor>
          <Comment id="{e813580f-0a64-462e-9635-27ea9e18b94f}"/>
        </Anchor>
        <Assign userId="chatterj@schrodinger.com" userName="chatterj@schrodinger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164</xdr:row>
      <xdr:rowOff>47625</xdr:rowOff>
    </xdr:from>
    <xdr:ext cx="3333750" cy="23812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142875</xdr:colOff>
      <xdr:row>178</xdr:row>
      <xdr:rowOff>47625</xdr:rowOff>
    </xdr:from>
    <xdr:ext cx="3333750" cy="23812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142875</xdr:colOff>
      <xdr:row>194</xdr:row>
      <xdr:rowOff>47625</xdr:rowOff>
    </xdr:from>
    <xdr:ext cx="3333750" cy="23812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tin Thukral" id="{81b2ef97-15c6-4f04-81b0-8fa09152ec06}" providerId="google-sheets"/>
  <x18tc:person displayName="Saheli Chatterjee" id="{052c5b6d-3ca2-47f1-aa26-a9a63ac8d8b5}" providerId="google-sheets"/>
  <x18tc:person displayName="chatterj@schrodinger.com" id="{69163db9-cd3c-45a1-ae57-b6eb7858bf14}" userId="chatterj@schrodinger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2-03-02T13:46:50.00" personId="{81b2ef97-15c6-4f04-81b0-8fa09152ec06}" id="{a19f531a-3704-43bb-8059-15796bf7a8cc}" done="1">
    <x18tc:text xml:space="preserve">Could you please provide an example for this? @chatterj@schrodinger.com
Assigned to chatterj@schrodinger.com</x18tc:text>
    <x18tc:mentions>
      <x18tc:mention mentionpersonId="{69163db9-cd3c-45a1-ae57-b6eb7858bf14}" mentionId="{32aebec1-d70d-458f-b72d-117d0174a79e}" startIndex="46" length="25"/>
    </x18tc:mentions>
  </x18tc:threadedComment>
  <x18tc:threadedComment ref="A1" dT="2022-03-02T14:40:48.00" personId="{81b2ef97-15c6-4f04-81b0-8fa09152ec06}" id="{e1e93905-76b1-439e-9775-d2cc9cdd33f7}" done="1">
    <x18tc:text xml:space="preserve">@chatterj@schrodinger.com  Does this require testing in 2022.1.x?
Assigned to chatterj@schrodinger.com</x18tc:text>
    <x18tc:mentions>
      <x18tc:mention mentionpersonId="{69163db9-cd3c-45a1-ae57-b6eb7858bf14}" mentionId="{3bd80ea4-d863-4bd5-ab08-31be241344b2}" startIndex="0" length="25"/>
    </x18tc:mentions>
  </x18tc:threadedComment>
  <x18tc:threadedComment ref="C116" dT="2022-03-01T15:54:28.00" personId="{81b2ef97-15c6-4f04-81b0-8fa09152ec06}" id="{e813580f-0a64-462e-9635-27ea9e18b94f}" done="1">
    <x18tc:text xml:space="preserve">@chatterj@schrodinger.com Do we have the new work merged in? If so, could you please add the test cases to this LR.
Assigned to chatterj@schrodinger.com</x18tc:text>
    <x18tc:mentions>
      <x18tc:mention mentionpersonId="{69163db9-cd3c-45a1-ae57-b6eb7858bf14}" mentionId="{b5435e8d-cb14-4012-b41c-8a8bfd11e6ae}" startIndex="0" length="25"/>
    </x18tc:mentions>
  </x18tc:threadedComment>
  <x18tc:threadedComment ref="C116" dT="2022-03-01T17:16:09.00" personId="{052c5b6d-3ca2-47f1-aa26-a9a63ac8d8b5}" id="{7e730639-98c3-4f80-9b21-e47002508a9f}" parentId="{e813580f-0a64-462e-9635-27ea9e18b94f}">
    <x18tc:text xml:space="preserve">It has been slated for 2022-2.2 and is in code review</x18tc:text>
  </x18tc:threadedComment>
  <x18tc:threadedComment ref="C116" dT="2022-03-01T17:16:31.00" personId="{052c5b6d-3ca2-47f1-aa26-a9a63ac8d8b5}" id="{4c3e3642-15a8-4904-9dd8-cad843aba1c6}" parentId="{e813580f-0a64-462e-9635-27ea9e18b94f}">
    <x18tc:text xml:space="preserve">https://jira.schrodinger.com/browse/SS-30985</x18tc:text>
    <x18tc:extLst>
      <ext uri="{F7C98A9C-CBB3-438F-8F68-D28B6AF4A901}">
        <xltc2:checksum/>
        <xltc2:hyperlink startIndex="0" length="44" url="https://jira.schrodinger.com/browse/SS-30985"/>
      </ext>
    </x18tc:extLst>
  </x18tc:threadedComment>
  <x18tc:threadedComment ref="C116" dT="2022-03-01T17:30:12.00" personId="{81b2ef97-15c6-4f04-81b0-8fa09152ec06}" id="{7dfd91f3-aacb-4979-90a1-f46262176d6a}" parentId="{e813580f-0a64-462e-9635-27ea9e18b94f}">
    <x18tc:text xml:space="preserve">Marked as done</x18tc:text>
  </x18tc:threadedComment>
  <x18tc:threadedComment ref="C116" dT="2022-03-01T17:30:23.00" personId="{81b2ef97-15c6-4f04-81b0-8fa09152ec06}" id="{b65e4810-fca3-4b5e-acd8-37bef811e4a0}" parentId="{e813580f-0a64-462e-9635-27ea9e18b94f}">
    <x18tc:text xml:space="preserve">Thanks
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schrodinger/livedesign/blob/master/LD-WebTests/tests/api/models/test_model_with_ligand_return.py" TargetMode="External"/><Relationship Id="rId84" Type="http://schemas.openxmlformats.org/officeDocument/2006/relationships/hyperlink" Target="https://schrodinger.atlassian.net/browse/LDIMPORT-546" TargetMode="External"/><Relationship Id="rId83" Type="http://schemas.openxmlformats.org/officeDocument/2006/relationships/hyperlink" Target="https://github.com/schrodinger/livedesign/blob/master/LD-WebTests/tests/api/models/test_model_tags_inheritance.py" TargetMode="External"/><Relationship Id="rId42" Type="http://schemas.openxmlformats.org/officeDocument/2006/relationships/hyperlink" Target="https://jira.schrodinger.com/browse/LDIDEAS-5023" TargetMode="External"/><Relationship Id="rId86" Type="http://schemas.openxmlformats.org/officeDocument/2006/relationships/drawing" Target="../drawings/drawing1.xml"/><Relationship Id="rId41" Type="http://schemas.openxmlformats.org/officeDocument/2006/relationships/hyperlink" Target="https://jira.schrodinger.com/browse/SS-41910" TargetMode="External"/><Relationship Id="rId85" Type="http://schemas.openxmlformats.org/officeDocument/2006/relationships/hyperlink" Target="https://qa-demo-23-3.dev.bb.schrodinger.com/livedesign/" TargetMode="External"/><Relationship Id="rId44" Type="http://schemas.openxmlformats.org/officeDocument/2006/relationships/hyperlink" Target="https://github.com/schrodinger/livedesign/blob/master/LD-WebTests/tests/api/models/test_default_tags_and_inheritance_for_models.py" TargetMode="External"/><Relationship Id="rId43" Type="http://schemas.openxmlformats.org/officeDocument/2006/relationships/hyperlink" Target="https://github.com/schrodinger/livedesign/blob/master/LD-WebTests/tests/api/models/test_model_template_vars.py" TargetMode="External"/><Relationship Id="rId87" Type="http://schemas.openxmlformats.org/officeDocument/2006/relationships/vmlDrawing" Target="../drawings/vmlDrawing1.vml"/><Relationship Id="rId46" Type="http://schemas.openxmlformats.org/officeDocument/2006/relationships/hyperlink" Target="https://jira.schrodinger.com/browse/SS-40775" TargetMode="External"/><Relationship Id="rId45" Type="http://schemas.openxmlformats.org/officeDocument/2006/relationships/hyperlink" Target="https://github.com/schrodinger/livedesign/blob/master/LD-WebTests/tests/api/models/test_model_with_batch_size.py" TargetMode="External"/><Relationship Id="rId80" Type="http://schemas.openxmlformats.org/officeDocument/2006/relationships/hyperlink" Target="https://jira.schrodinger.com/browse/SS-30760" TargetMode="External"/><Relationship Id="rId82" Type="http://schemas.openxmlformats.org/officeDocument/2006/relationships/hyperlink" Target="https://github.com/schrodinger/livedesign/blob/master/LD-WebTests/tests/selenium/models/test_apply_models_to_rgroups.py" TargetMode="External"/><Relationship Id="rId81" Type="http://schemas.openxmlformats.org/officeDocument/2006/relationships/hyperlink" Target="https://github.com/schrodinger/livedesign/blob/master/LD-WebTests/tests/api/models/test_update_model_parent.py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github.com/schrodinger/livedesign/blob/master/LD-WebTests/tests/api/models/test_create_protocol.py" TargetMode="External"/><Relationship Id="rId9" Type="http://schemas.openxmlformats.org/officeDocument/2006/relationships/hyperlink" Target="http://livedesign-internal/livedesign" TargetMode="External"/><Relationship Id="rId48" Type="http://schemas.openxmlformats.org/officeDocument/2006/relationships/hyperlink" Target="https://github.com/schrodinger/livedesign/blob/master/LD-WebTests/tests/selenium/models/test_rerun_model_from_column_dropdown.py" TargetMode="External"/><Relationship Id="rId47" Type="http://schemas.openxmlformats.org/officeDocument/2006/relationships/hyperlink" Target="https://jira.schrodinger.com/browse/SS-30892" TargetMode="External"/><Relationship Id="rId49" Type="http://schemas.openxmlformats.org/officeDocument/2006/relationships/hyperlink" Target="https://schrodinger.atlassian.net/browse/QA-3180" TargetMode="External"/><Relationship Id="rId5" Type="http://schemas.openxmlformats.org/officeDocument/2006/relationships/hyperlink" Target="https://github.com/schrodinger/livedesign/blob/master/LD-WebTests/tests/api/models/test_archive_protocol.py" TargetMode="External"/><Relationship Id="rId6" Type="http://schemas.openxmlformats.org/officeDocument/2006/relationships/hyperlink" Target="https://jira.schrodinger.com/browse/SS-42232" TargetMode="External"/><Relationship Id="rId7" Type="http://schemas.openxmlformats.org/officeDocument/2006/relationships/hyperlink" Target="https://jira.schrodinger.com/browse/SS-42232" TargetMode="External"/><Relationship Id="rId8" Type="http://schemas.openxmlformats.org/officeDocument/2006/relationships/hyperlink" Target="https://github.com/schrodinger/livedesign/blob/master/LD-WebTests/tests/api/models/test_picklist_models.py" TargetMode="External"/><Relationship Id="rId73" Type="http://schemas.openxmlformats.org/officeDocument/2006/relationships/hyperlink" Target="https://confluence.schrodinger.com/pages/viewpage.action?pageId=65929745" TargetMode="External"/><Relationship Id="rId72" Type="http://schemas.openxmlformats.org/officeDocument/2006/relationships/hyperlink" Target="https://qa-demo-22-4-chef.dev.bb.schrodinger.com/admin/models/ldmodel/23041/change/" TargetMode="External"/><Relationship Id="rId31" Type="http://schemas.openxmlformats.org/officeDocument/2006/relationships/hyperlink" Target="https://jira.schrodinger.com/browse/SS-30068" TargetMode="External"/><Relationship Id="rId75" Type="http://schemas.openxmlformats.org/officeDocument/2006/relationships/hyperlink" Target="https://jira.schrodinger.com/browse/QA-4333" TargetMode="External"/><Relationship Id="rId30" Type="http://schemas.openxmlformats.org/officeDocument/2006/relationships/hyperlink" Target="https://jira.schrodinger.com/browse/SS-30253" TargetMode="External"/><Relationship Id="rId74" Type="http://schemas.openxmlformats.org/officeDocument/2006/relationships/hyperlink" Target="https://github.com/schrodinger/livedesign/blob/master/LD-WebTests/tests/api/models/test_model_automatic_rerun.py" TargetMode="External"/><Relationship Id="rId33" Type="http://schemas.openxmlformats.org/officeDocument/2006/relationships/hyperlink" Target="https://github.com/schrodinger/livedesign/blob/master/LD-WebTests/tests/api/models/test_models.py" TargetMode="External"/><Relationship Id="rId77" Type="http://schemas.openxmlformats.org/officeDocument/2006/relationships/hyperlink" Target="https://jira.schrodinger.com/browse/SS-30659" TargetMode="External"/><Relationship Id="rId32" Type="http://schemas.openxmlformats.org/officeDocument/2006/relationships/hyperlink" Target="https://github.com/schrodinger/livedesign/blob/master/LD-WebTests/tests/api/models/test_non_existent_model_object_and_id_by_name.py" TargetMode="External"/><Relationship Id="rId76" Type="http://schemas.openxmlformats.org/officeDocument/2006/relationships/hyperlink" Target="https://jira.schrodinger.com/browse/SS-31499" TargetMode="External"/><Relationship Id="rId35" Type="http://schemas.openxmlformats.org/officeDocument/2006/relationships/hyperlink" Target="https://github.com/schrodinger/livedesign/blob/master/LD-WebTests/tests/selenium/models/test_add_model_column_to_lr.py" TargetMode="External"/><Relationship Id="rId79" Type="http://schemas.openxmlformats.org/officeDocument/2006/relationships/hyperlink" Target="https://jira.schrodinger.com/browse/SS-32819" TargetMode="External"/><Relationship Id="rId34" Type="http://schemas.openxmlformats.org/officeDocument/2006/relationships/hyperlink" Target="https://jira.schrodinger.com/browse/SS-32094" TargetMode="External"/><Relationship Id="rId78" Type="http://schemas.openxmlformats.org/officeDocument/2006/relationships/hyperlink" Target="https://jira.schrodinger.com/browse/SS-30694" TargetMode="External"/><Relationship Id="rId71" Type="http://schemas.openxmlformats.org/officeDocument/2006/relationships/hyperlink" Target="https://qa-demo-22-4-chef.dev.bb.schrodinger.com/admin/models/ldmodel/31294/change" TargetMode="External"/><Relationship Id="rId70" Type="http://schemas.openxmlformats.org/officeDocument/2006/relationships/hyperlink" Target="https://schrodinger.atlassian.net/wiki/x/z5w9Aw" TargetMode="External"/><Relationship Id="rId37" Type="http://schemas.openxmlformats.org/officeDocument/2006/relationships/hyperlink" Target="https://jira.schrodinger.com/browse/SS-30355" TargetMode="External"/><Relationship Id="rId36" Type="http://schemas.openxmlformats.org/officeDocument/2006/relationships/hyperlink" Target="https://github.com/schrodinger/livedesign/blob/master/LD-WebTests/tests/api/models/test_models_by_column_id.py" TargetMode="External"/><Relationship Id="rId39" Type="http://schemas.openxmlformats.org/officeDocument/2006/relationships/hyperlink" Target="https://jira.schrodinger.com/browse/SS-29979" TargetMode="External"/><Relationship Id="rId38" Type="http://schemas.openxmlformats.org/officeDocument/2006/relationships/hyperlink" Target="https://jira.schrodinger.com/browse/SS-29979" TargetMode="External"/><Relationship Id="rId62" Type="http://schemas.openxmlformats.org/officeDocument/2006/relationships/hyperlink" Target="https://confluence.schrodinger.com/display/LD/Allow+Optional+Parameter+for+Model" TargetMode="External"/><Relationship Id="rId61" Type="http://schemas.openxmlformats.org/officeDocument/2006/relationships/hyperlink" Target="https://confluence.schrodinger.com/x/TgOPAw" TargetMode="External"/><Relationship Id="rId20" Type="http://schemas.openxmlformats.org/officeDocument/2006/relationships/hyperlink" Target="https://jira.schrodinger.com/browse/SS-31568" TargetMode="External"/><Relationship Id="rId64" Type="http://schemas.openxmlformats.org/officeDocument/2006/relationships/hyperlink" Target="https://jira.schrodinger.com/browse/QA-4333" TargetMode="External"/><Relationship Id="rId63" Type="http://schemas.openxmlformats.org/officeDocument/2006/relationships/hyperlink" Target="https://github.com/schrodinger/livedesign/blob/master/LD-WebTests/tests/api/models/test_is_optional_field_for_models.py" TargetMode="External"/><Relationship Id="rId22" Type="http://schemas.openxmlformats.org/officeDocument/2006/relationships/hyperlink" Target="https://schrodinger.atlassian.net/browse/LDADMIN-1606" TargetMode="External"/><Relationship Id="rId66" Type="http://schemas.openxmlformats.org/officeDocument/2006/relationships/hyperlink" Target="https://schrodinger.atlassian.net/browse/LDADMIN-612" TargetMode="External"/><Relationship Id="rId21" Type="http://schemas.openxmlformats.org/officeDocument/2006/relationships/hyperlink" Target="https://jira.schrodinger.com/browse/SS-39610" TargetMode="External"/><Relationship Id="rId65" Type="http://schemas.openxmlformats.org/officeDocument/2006/relationships/hyperlink" Target="https://jira.schrodinger.com/browse/SS-30510" TargetMode="External"/><Relationship Id="rId24" Type="http://schemas.openxmlformats.org/officeDocument/2006/relationships/hyperlink" Target="https://github.com/schrodinger/livedesign/blob/master/LD-WebTests/tests/api/models/test_project_access_for_models.py" TargetMode="External"/><Relationship Id="rId68" Type="http://schemas.openxmlformats.org/officeDocument/2006/relationships/hyperlink" Target="https://jira.schrodinger.com/browse/SS-33396" TargetMode="External"/><Relationship Id="rId23" Type="http://schemas.openxmlformats.org/officeDocument/2006/relationships/hyperlink" Target="https://jira.schrodinger.com/browse/SS-42232" TargetMode="External"/><Relationship Id="rId67" Type="http://schemas.openxmlformats.org/officeDocument/2006/relationships/hyperlink" Target="https://github.com/schrodinger/livedesign/blob/master/LD-WebTests/tests/api/models/test_run_models_real_time.py" TargetMode="External"/><Relationship Id="rId60" Type="http://schemas.openxmlformats.org/officeDocument/2006/relationships/hyperlink" Target="https://jira.schrodinger.com/browse/SS-32723" TargetMode="External"/><Relationship Id="rId26" Type="http://schemas.openxmlformats.org/officeDocument/2006/relationships/hyperlink" Target="https://github.com/schrodinger/livedesign/blob/master/LD-WebTests/tests/api/models/test_model_command_type.py" TargetMode="External"/><Relationship Id="rId25" Type="http://schemas.openxmlformats.org/officeDocument/2006/relationships/hyperlink" Target="https://jira.schrodinger.com/browse/SS-30865" TargetMode="External"/><Relationship Id="rId69" Type="http://schemas.openxmlformats.org/officeDocument/2006/relationships/hyperlink" Target="https://jira.schrodinger.com/browse/SS-30027" TargetMode="External"/><Relationship Id="rId28" Type="http://schemas.openxmlformats.org/officeDocument/2006/relationships/hyperlink" Target="https://jira.schrodinger.com/browse/SS-30561" TargetMode="External"/><Relationship Id="rId27" Type="http://schemas.openxmlformats.org/officeDocument/2006/relationships/hyperlink" Target="https://github.com/schrodinger/livedesign/blob/master/LD-WebTests/tests/api/models/test_protocol_model_predictions.py" TargetMode="External"/><Relationship Id="rId29" Type="http://schemas.openxmlformats.org/officeDocument/2006/relationships/hyperlink" Target="https://docs.google.com/document/d/1HMehyYJ7mVG5T0YUnfjbjOs_YvhwkvR_KMUjWJJA7Fo/edit" TargetMode="External"/><Relationship Id="rId51" Type="http://schemas.openxmlformats.org/officeDocument/2006/relationships/hyperlink" Target="https://github.com/schrodinger/livedesign/blob/master/LD-WebTests/tests/api/models/test_add_model_columns_to_lr.py" TargetMode="External"/><Relationship Id="rId50" Type="http://schemas.openxmlformats.org/officeDocument/2006/relationships/hyperlink" Target="https://jira.schrodinger.com/browse/SS-36384" TargetMode="External"/><Relationship Id="rId53" Type="http://schemas.openxmlformats.org/officeDocument/2006/relationships/hyperlink" Target="https://jira.schrodinger.com/browse/SS-27849" TargetMode="External"/><Relationship Id="rId52" Type="http://schemas.openxmlformats.org/officeDocument/2006/relationships/hyperlink" Target="https://jira.schrodinger.com/browse/SS-32807" TargetMode="External"/><Relationship Id="rId11" Type="http://schemas.openxmlformats.org/officeDocument/2006/relationships/hyperlink" Target="https://jira.schrodinger.com/browse/SS-30207" TargetMode="External"/><Relationship Id="rId55" Type="http://schemas.openxmlformats.org/officeDocument/2006/relationships/hyperlink" Target="https://jira.schrodinger.com/browse/SS-35813" TargetMode="External"/><Relationship Id="rId10" Type="http://schemas.openxmlformats.org/officeDocument/2006/relationships/hyperlink" Target="https://github.com/schrodinger/livedesign/blob/master/LD-WebTests/tests/api/models/test_is_optional_field_for_protocols.py" TargetMode="External"/><Relationship Id="rId54" Type="http://schemas.openxmlformats.org/officeDocument/2006/relationships/hyperlink" Target="https://jira.schrodinger.com/browse/SS-40454" TargetMode="External"/><Relationship Id="rId13" Type="http://schemas.openxmlformats.org/officeDocument/2006/relationships/hyperlink" Target="https://jira.schrodinger.com/browse/SS-42232" TargetMode="External"/><Relationship Id="rId57" Type="http://schemas.openxmlformats.org/officeDocument/2006/relationships/hyperlink" Target="https://jira.schrodinger.com/browse/QA-3982" TargetMode="External"/><Relationship Id="rId12" Type="http://schemas.openxmlformats.org/officeDocument/2006/relationships/hyperlink" Target="https://github.com/schrodinger/livedesign/blob/master/LD-WebTests/tests/api/models/test_archive_protocol.py" TargetMode="External"/><Relationship Id="rId56" Type="http://schemas.openxmlformats.org/officeDocument/2006/relationships/hyperlink" Target="https://jira.schrodinger.com/browse/QA-3982" TargetMode="External"/><Relationship Id="rId15" Type="http://schemas.openxmlformats.org/officeDocument/2006/relationships/hyperlink" Target="https://schrodinger.atlassian.net/browse/SS-42328" TargetMode="External"/><Relationship Id="rId59" Type="http://schemas.openxmlformats.org/officeDocument/2006/relationships/hyperlink" Target="https://jira.schrodinger.com/browse/SS-41233" TargetMode="External"/><Relationship Id="rId14" Type="http://schemas.openxmlformats.org/officeDocument/2006/relationships/hyperlink" Target="https://github.com/schrodinger/livedesign/blob/master/LD-WebTests/tests/api/models/test_check_user_with_User_role_dont_have_access_protocol_methods.py" TargetMode="External"/><Relationship Id="rId58" Type="http://schemas.openxmlformats.org/officeDocument/2006/relationships/hyperlink" Target="https://jira.schrodinger.com/browse/QA-3982" TargetMode="External"/><Relationship Id="rId17" Type="http://schemas.openxmlformats.org/officeDocument/2006/relationships/hyperlink" Target="https://schrodinger.atlassian.net/browse/LDIDEAS-4204" TargetMode="External"/><Relationship Id="rId16" Type="http://schemas.openxmlformats.org/officeDocument/2006/relationships/hyperlink" Target="https://github.com/schrodinger/livedesign/blob/master/LD-WebTests/tests/api/models/test_update_protocol_changes_dependent_models.py" TargetMode="External"/><Relationship Id="rId19" Type="http://schemas.openxmlformats.org/officeDocument/2006/relationships/hyperlink" Target="https://jira.schrodinger.com/browse/SS-27900" TargetMode="External"/><Relationship Id="rId18" Type="http://schemas.openxmlformats.org/officeDocument/2006/relationships/hyperlink" Target="https://github.com/schrodinger/livedesign/blob/master/LD-WebTests/tests/api/models/test_update_protocol_changes_dependent_models.p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2" max="2" width="18.63"/>
    <col customWidth="1" min="3" max="3" width="39.63"/>
    <col customWidth="1" min="4" max="4" width="17.63"/>
    <col customWidth="1" min="5" max="5" width="14.75"/>
    <col customWidth="1" min="6" max="6" width="17.13"/>
    <col customWidth="1" min="8" max="8" width="15.75"/>
    <col customWidth="1" min="9" max="15" width="15.0"/>
  </cols>
  <sheetData>
    <row r="1">
      <c r="A1" s="1" t="str">
        <f>OFFSET(A1,0,6)</f>
        <v>LD 2026-1 Pass 3 (StartDate: 27/Jan/2025) Build(#)</v>
      </c>
      <c r="B1" s="2" t="str">
        <f t="shared" ref="B1:D1" si="1">CONCATENATE(OFFSET(B2,0,5), " Status")</f>
        <v>MS Edge Status</v>
      </c>
      <c r="C1" s="2" t="str">
        <f t="shared" si="1"/>
        <v>FireFox Status</v>
      </c>
      <c r="D1" s="2" t="str">
        <f t="shared" si="1"/>
        <v>Chrome Status</v>
      </c>
      <c r="E1" s="3"/>
      <c r="F1" s="4" t="s">
        <v>0</v>
      </c>
      <c r="G1" s="5" t="s">
        <v>1</v>
      </c>
      <c r="H1" s="6"/>
      <c r="I1" s="7"/>
      <c r="J1" s="5" t="s">
        <v>2</v>
      </c>
      <c r="K1" s="6"/>
      <c r="L1" s="7"/>
      <c r="M1" s="5" t="s">
        <v>3</v>
      </c>
      <c r="N1" s="6"/>
      <c r="O1" s="7"/>
    </row>
    <row r="2">
      <c r="A2" s="8"/>
      <c r="B2" s="9" t="str">
        <f>IF(OR(offset(B3,0,5)="Incomplete", offset(B3,0,5)="Not Tested"), offset(B3,0,5), concatenate( offset(B3,0,5)," (", offset( B2,B159-2,5), "%)"))</f>
        <v>Incomplete</v>
      </c>
      <c r="C2" s="9" t="str">
        <f>IF(OR(offset(C3,0,5)="Incomplete", offset(C3,0,5)="Not Tested"), offset(C3,0,5), concatenate( offset(C3,0,5)," (", offset( C2,B159-2,5), "%)"))</f>
        <v>In Progress (87%)</v>
      </c>
      <c r="D2" s="9" t="str">
        <f>IF(OR(offset(D3,0,5)="Incomplete", offset(D3,0,5)="Not Tested"), offset(D3,0,5), concatenate( offset(D3,0,5)," (", offset( D2,B159-2,5), "%)"))</f>
        <v>Incomplete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</row>
    <row r="3">
      <c r="A3" s="13" t="s">
        <v>8</v>
      </c>
      <c r="B3" s="9" t="str">
        <f t="shared" ref="B3:D3" si="2">OFFSET(B4,0,5)</f>
        <v>Not Tested</v>
      </c>
      <c r="C3" s="9" t="str">
        <f t="shared" si="2"/>
        <v>Tasleem</v>
      </c>
      <c r="D3" s="9" t="str">
        <f t="shared" si="2"/>
        <v>Not Tested</v>
      </c>
      <c r="E3" s="10"/>
      <c r="F3" s="14" t="s">
        <v>9</v>
      </c>
      <c r="G3" s="15" t="s">
        <v>10</v>
      </c>
      <c r="H3" s="15" t="s">
        <v>11</v>
      </c>
      <c r="I3" s="15" t="s">
        <v>10</v>
      </c>
      <c r="J3" s="15" t="s">
        <v>10</v>
      </c>
      <c r="K3" s="15" t="s">
        <v>11</v>
      </c>
      <c r="L3" s="15" t="s">
        <v>10</v>
      </c>
      <c r="M3" s="15" t="s">
        <v>10</v>
      </c>
      <c r="N3" s="15" t="s">
        <v>10</v>
      </c>
      <c r="O3" s="15" t="s">
        <v>10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13</v>
      </c>
      <c r="I4" s="15" t="s">
        <v>12</v>
      </c>
      <c r="J4" s="15" t="s">
        <v>12</v>
      </c>
      <c r="K4" s="15" t="s">
        <v>13</v>
      </c>
      <c r="L4" s="15" t="s">
        <v>14</v>
      </c>
      <c r="M4" s="15" t="s">
        <v>12</v>
      </c>
      <c r="N4" s="15" t="s">
        <v>14</v>
      </c>
      <c r="O4" s="15" t="s">
        <v>12</v>
      </c>
    </row>
    <row r="5">
      <c r="A5" s="18" t="s">
        <v>15</v>
      </c>
      <c r="B5" s="19" t="s">
        <v>16</v>
      </c>
      <c r="C5" s="19" t="s">
        <v>17</v>
      </c>
      <c r="D5" s="19" t="s">
        <v>18</v>
      </c>
      <c r="E5" s="19" t="s">
        <v>19</v>
      </c>
      <c r="F5" s="20" t="s">
        <v>20</v>
      </c>
      <c r="G5" s="21"/>
      <c r="H5" s="21"/>
      <c r="I5" s="22"/>
      <c r="J5" s="21"/>
      <c r="K5" s="21"/>
      <c r="L5" s="22"/>
      <c r="M5" s="21"/>
      <c r="N5" s="21"/>
      <c r="O5" s="22"/>
    </row>
    <row r="6">
      <c r="A6" s="23" t="s">
        <v>21</v>
      </c>
      <c r="B6" s="24" t="s">
        <v>22</v>
      </c>
      <c r="C6" s="25" t="s">
        <v>23</v>
      </c>
      <c r="D6" s="26"/>
      <c r="E6" s="27"/>
      <c r="F6" s="28"/>
      <c r="G6" s="29"/>
      <c r="H6" s="30" t="s">
        <v>24</v>
      </c>
      <c r="I6" s="31"/>
      <c r="J6" s="29"/>
      <c r="K6" s="30" t="s">
        <v>24</v>
      </c>
      <c r="L6" s="31"/>
      <c r="M6" s="29"/>
      <c r="N6" s="29"/>
      <c r="O6" s="31" t="s">
        <v>24</v>
      </c>
    </row>
    <row r="7">
      <c r="A7" s="32"/>
      <c r="B7" s="32"/>
      <c r="C7" s="33" t="s">
        <v>25</v>
      </c>
      <c r="D7" s="34"/>
      <c r="E7" s="35"/>
      <c r="F7" s="36"/>
      <c r="G7" s="29"/>
      <c r="H7" s="30" t="s">
        <v>24</v>
      </c>
      <c r="I7" s="30"/>
      <c r="J7" s="29"/>
      <c r="K7" s="30" t="s">
        <v>24</v>
      </c>
      <c r="L7" s="30"/>
      <c r="M7" s="29"/>
      <c r="N7" s="29"/>
      <c r="O7" s="31" t="s">
        <v>24</v>
      </c>
    </row>
    <row r="8">
      <c r="A8" s="37"/>
      <c r="B8" s="37"/>
      <c r="C8" s="33" t="s">
        <v>26</v>
      </c>
      <c r="D8" s="34"/>
      <c r="E8" s="35"/>
      <c r="F8" s="36"/>
      <c r="G8" s="29"/>
      <c r="H8" s="30" t="s">
        <v>24</v>
      </c>
      <c r="I8" s="29"/>
      <c r="J8" s="29"/>
      <c r="K8" s="30" t="s">
        <v>24</v>
      </c>
      <c r="L8" s="29"/>
      <c r="M8" s="29"/>
      <c r="N8" s="29"/>
      <c r="O8" s="31" t="s">
        <v>24</v>
      </c>
    </row>
    <row r="9">
      <c r="A9" s="38" t="s">
        <v>27</v>
      </c>
      <c r="B9" s="39" t="s">
        <v>28</v>
      </c>
      <c r="C9" s="40" t="s">
        <v>29</v>
      </c>
      <c r="D9" s="34"/>
      <c r="E9" s="41" t="s">
        <v>30</v>
      </c>
      <c r="F9" s="36"/>
      <c r="G9" s="29"/>
      <c r="H9" s="30" t="s">
        <v>24</v>
      </c>
      <c r="I9" s="30"/>
      <c r="J9" s="29"/>
      <c r="K9" s="30" t="s">
        <v>24</v>
      </c>
      <c r="L9" s="30"/>
      <c r="M9" s="29"/>
      <c r="N9" s="29"/>
      <c r="O9" s="31" t="s">
        <v>24</v>
      </c>
    </row>
    <row r="10">
      <c r="A10" s="32"/>
      <c r="B10" s="32"/>
      <c r="C10" s="40" t="s">
        <v>31</v>
      </c>
      <c r="D10" s="34"/>
      <c r="E10" s="35"/>
      <c r="F10" s="36"/>
      <c r="G10" s="29"/>
      <c r="H10" s="30" t="s">
        <v>24</v>
      </c>
      <c r="I10" s="30"/>
      <c r="J10" s="29"/>
      <c r="K10" s="30" t="s">
        <v>24</v>
      </c>
      <c r="L10" s="30"/>
      <c r="M10" s="29"/>
      <c r="N10" s="29"/>
      <c r="O10" s="31" t="s">
        <v>24</v>
      </c>
    </row>
    <row r="11">
      <c r="A11" s="32"/>
      <c r="B11" s="32"/>
      <c r="C11" s="40" t="s">
        <v>32</v>
      </c>
      <c r="D11" s="34"/>
      <c r="E11" s="35"/>
      <c r="F11" s="36"/>
      <c r="G11" s="29"/>
      <c r="H11" s="30" t="s">
        <v>24</v>
      </c>
      <c r="I11" s="42"/>
      <c r="J11" s="29"/>
      <c r="K11" s="30" t="s">
        <v>24</v>
      </c>
      <c r="L11" s="42"/>
      <c r="M11" s="29"/>
      <c r="N11" s="29"/>
      <c r="O11" s="31" t="s">
        <v>24</v>
      </c>
    </row>
    <row r="12">
      <c r="A12" s="32"/>
      <c r="B12" s="32"/>
      <c r="C12" s="43" t="s">
        <v>33</v>
      </c>
      <c r="D12" s="34"/>
      <c r="E12" s="44" t="s">
        <v>34</v>
      </c>
      <c r="F12" s="36"/>
      <c r="G12" s="29"/>
      <c r="H12" s="30" t="s">
        <v>24</v>
      </c>
      <c r="I12" s="42"/>
      <c r="J12" s="29"/>
      <c r="K12" s="30" t="s">
        <v>24</v>
      </c>
      <c r="L12" s="42"/>
      <c r="M12" s="29"/>
      <c r="N12" s="29"/>
      <c r="O12" s="31" t="s">
        <v>24</v>
      </c>
    </row>
    <row r="13">
      <c r="A13" s="32"/>
      <c r="B13" s="37"/>
      <c r="C13" s="40" t="s">
        <v>35</v>
      </c>
      <c r="D13" s="34"/>
      <c r="E13" s="35"/>
      <c r="F13" s="36"/>
      <c r="G13" s="29"/>
      <c r="H13" s="30" t="s">
        <v>24</v>
      </c>
      <c r="I13" s="42"/>
      <c r="J13" s="29"/>
      <c r="K13" s="30" t="s">
        <v>24</v>
      </c>
      <c r="L13" s="42"/>
      <c r="M13" s="29"/>
      <c r="N13" s="29"/>
      <c r="O13" s="31" t="s">
        <v>24</v>
      </c>
    </row>
    <row r="14">
      <c r="A14" s="32"/>
      <c r="B14" s="45" t="s">
        <v>36</v>
      </c>
      <c r="C14" s="46" t="s">
        <v>37</v>
      </c>
      <c r="D14" s="34"/>
      <c r="E14" s="35"/>
      <c r="F14" s="47" t="s">
        <v>38</v>
      </c>
      <c r="G14" s="29"/>
      <c r="H14" s="30" t="s">
        <v>24</v>
      </c>
      <c r="I14" s="30"/>
      <c r="J14" s="29"/>
      <c r="K14" s="30" t="s">
        <v>24</v>
      </c>
      <c r="L14" s="30"/>
      <c r="M14" s="29"/>
      <c r="N14" s="29"/>
      <c r="O14" s="31" t="s">
        <v>24</v>
      </c>
    </row>
    <row r="15">
      <c r="A15" s="32"/>
      <c r="B15" s="32"/>
      <c r="C15" s="33" t="s">
        <v>39</v>
      </c>
      <c r="D15" s="34"/>
      <c r="E15" s="35"/>
      <c r="F15" s="36"/>
      <c r="G15" s="29"/>
      <c r="H15" s="30" t="s">
        <v>24</v>
      </c>
      <c r="I15" s="30"/>
      <c r="J15" s="29"/>
      <c r="K15" s="30" t="s">
        <v>24</v>
      </c>
      <c r="L15" s="30"/>
      <c r="M15" s="29"/>
      <c r="N15" s="29"/>
      <c r="O15" s="31" t="s">
        <v>24</v>
      </c>
    </row>
    <row r="16">
      <c r="A16" s="32"/>
      <c r="B16" s="32"/>
      <c r="C16" s="48" t="s">
        <v>40</v>
      </c>
      <c r="D16" s="34"/>
      <c r="E16" s="35"/>
      <c r="F16" s="36"/>
      <c r="G16" s="29"/>
      <c r="H16" s="30" t="s">
        <v>24</v>
      </c>
      <c r="I16" s="30"/>
      <c r="J16" s="29"/>
      <c r="K16" s="30" t="s">
        <v>24</v>
      </c>
      <c r="L16" s="30"/>
      <c r="M16" s="29"/>
      <c r="N16" s="29"/>
      <c r="O16" s="31" t="s">
        <v>24</v>
      </c>
    </row>
    <row r="17">
      <c r="A17" s="32"/>
      <c r="B17" s="32"/>
      <c r="C17" s="49" t="s">
        <v>41</v>
      </c>
      <c r="D17" s="34"/>
      <c r="E17" s="35"/>
      <c r="F17" s="47" t="s">
        <v>38</v>
      </c>
      <c r="G17" s="29"/>
      <c r="H17" s="30" t="s">
        <v>24</v>
      </c>
      <c r="I17" s="30"/>
      <c r="J17" s="29"/>
      <c r="K17" s="30" t="s">
        <v>24</v>
      </c>
      <c r="L17" s="30"/>
      <c r="M17" s="29"/>
      <c r="N17" s="29"/>
      <c r="O17" s="31" t="s">
        <v>24</v>
      </c>
    </row>
    <row r="18">
      <c r="A18" s="32"/>
      <c r="B18" s="37"/>
      <c r="C18" s="46" t="s">
        <v>42</v>
      </c>
      <c r="D18" s="34"/>
      <c r="E18" s="35"/>
      <c r="F18" s="36"/>
      <c r="G18" s="29"/>
      <c r="H18" s="30" t="s">
        <v>24</v>
      </c>
      <c r="I18" s="42"/>
      <c r="J18" s="29"/>
      <c r="K18" s="30" t="s">
        <v>24</v>
      </c>
      <c r="L18" s="42"/>
      <c r="M18" s="29"/>
      <c r="N18" s="29"/>
      <c r="O18" s="31" t="s">
        <v>24</v>
      </c>
    </row>
    <row r="19">
      <c r="A19" s="32"/>
      <c r="B19" s="45" t="s">
        <v>43</v>
      </c>
      <c r="C19" s="40" t="s">
        <v>44</v>
      </c>
      <c r="D19" s="34"/>
      <c r="E19" s="35"/>
      <c r="F19" s="36"/>
      <c r="G19" s="29"/>
      <c r="H19" s="30" t="s">
        <v>24</v>
      </c>
      <c r="I19" s="30"/>
      <c r="J19" s="29"/>
      <c r="K19" s="30" t="s">
        <v>24</v>
      </c>
      <c r="L19" s="30"/>
      <c r="M19" s="29"/>
      <c r="N19" s="29"/>
      <c r="O19" s="31" t="s">
        <v>24</v>
      </c>
    </row>
    <row r="20">
      <c r="A20" s="32"/>
      <c r="B20" s="32"/>
      <c r="C20" s="40" t="s">
        <v>45</v>
      </c>
      <c r="D20" s="34"/>
      <c r="E20" s="35"/>
      <c r="F20" s="36"/>
      <c r="G20" s="29"/>
      <c r="H20" s="30" t="s">
        <v>24</v>
      </c>
      <c r="I20" s="30"/>
      <c r="J20" s="29"/>
      <c r="K20" s="30" t="s">
        <v>24</v>
      </c>
      <c r="L20" s="30"/>
      <c r="M20" s="29"/>
      <c r="N20" s="29"/>
      <c r="O20" s="31" t="s">
        <v>24</v>
      </c>
    </row>
    <row r="21">
      <c r="A21" s="32"/>
      <c r="B21" s="37"/>
      <c r="C21" s="40" t="s">
        <v>46</v>
      </c>
      <c r="D21" s="34"/>
      <c r="E21" s="35"/>
      <c r="F21" s="36"/>
      <c r="G21" s="29"/>
      <c r="H21" s="30" t="s">
        <v>24</v>
      </c>
      <c r="I21" s="30"/>
      <c r="J21" s="29"/>
      <c r="K21" s="30" t="s">
        <v>24</v>
      </c>
      <c r="L21" s="30"/>
      <c r="M21" s="29"/>
      <c r="N21" s="29"/>
      <c r="O21" s="31" t="s">
        <v>24</v>
      </c>
    </row>
    <row r="22">
      <c r="A22" s="32"/>
      <c r="B22" s="45" t="s">
        <v>47</v>
      </c>
      <c r="C22" s="40" t="s">
        <v>48</v>
      </c>
      <c r="D22" s="34"/>
      <c r="E22" s="35"/>
      <c r="F22" s="36"/>
      <c r="G22" s="29"/>
      <c r="H22" s="30" t="s">
        <v>24</v>
      </c>
      <c r="I22" s="30"/>
      <c r="J22" s="29"/>
      <c r="K22" s="30" t="s">
        <v>24</v>
      </c>
      <c r="L22" s="30"/>
      <c r="M22" s="29"/>
      <c r="N22" s="29"/>
      <c r="O22" s="31" t="s">
        <v>24</v>
      </c>
    </row>
    <row r="23">
      <c r="A23" s="32"/>
      <c r="B23" s="32"/>
      <c r="C23" s="40" t="s">
        <v>49</v>
      </c>
      <c r="D23" s="34"/>
      <c r="E23" s="35"/>
      <c r="F23" s="36"/>
      <c r="G23" s="29"/>
      <c r="H23" s="30" t="s">
        <v>24</v>
      </c>
      <c r="I23" s="30"/>
      <c r="J23" s="29"/>
      <c r="K23" s="30" t="s">
        <v>24</v>
      </c>
      <c r="L23" s="30"/>
      <c r="M23" s="29"/>
      <c r="N23" s="29"/>
      <c r="O23" s="31" t="s">
        <v>24</v>
      </c>
    </row>
    <row r="24">
      <c r="A24" s="32"/>
      <c r="B24" s="32"/>
      <c r="C24" s="40" t="s">
        <v>50</v>
      </c>
      <c r="D24" s="34"/>
      <c r="E24" s="35"/>
      <c r="F24" s="36"/>
      <c r="G24" s="29"/>
      <c r="H24" s="30" t="s">
        <v>24</v>
      </c>
      <c r="I24" s="30"/>
      <c r="J24" s="29"/>
      <c r="K24" s="30" t="s">
        <v>24</v>
      </c>
      <c r="L24" s="30"/>
      <c r="M24" s="29"/>
      <c r="N24" s="29"/>
      <c r="O24" s="31" t="s">
        <v>24</v>
      </c>
    </row>
    <row r="25">
      <c r="A25" s="32"/>
      <c r="B25" s="37"/>
      <c r="C25" s="40" t="s">
        <v>51</v>
      </c>
      <c r="D25" s="34"/>
      <c r="E25" s="35"/>
      <c r="F25" s="36"/>
      <c r="G25" s="29"/>
      <c r="H25" s="30" t="s">
        <v>24</v>
      </c>
      <c r="I25" s="30"/>
      <c r="J25" s="29"/>
      <c r="K25" s="30" t="s">
        <v>24</v>
      </c>
      <c r="L25" s="30"/>
      <c r="M25" s="29"/>
      <c r="N25" s="29"/>
      <c r="O25" s="31" t="s">
        <v>24</v>
      </c>
    </row>
    <row r="26">
      <c r="A26" s="32"/>
      <c r="B26" s="39" t="s">
        <v>52</v>
      </c>
      <c r="C26" s="46" t="s">
        <v>53</v>
      </c>
      <c r="D26" s="34"/>
      <c r="E26" s="35"/>
      <c r="F26" s="36"/>
      <c r="G26" s="29"/>
      <c r="H26" s="30" t="s">
        <v>24</v>
      </c>
      <c r="I26" s="30"/>
      <c r="J26" s="29"/>
      <c r="K26" s="30" t="s">
        <v>24</v>
      </c>
      <c r="L26" s="30"/>
      <c r="M26" s="29"/>
      <c r="N26" s="29"/>
      <c r="O26" s="31" t="s">
        <v>24</v>
      </c>
    </row>
    <row r="27">
      <c r="A27" s="32"/>
      <c r="B27" s="37"/>
      <c r="C27" s="46" t="s">
        <v>54</v>
      </c>
      <c r="D27" s="34"/>
      <c r="E27" s="35"/>
      <c r="F27" s="36"/>
      <c r="G27" s="29"/>
      <c r="H27" s="30" t="s">
        <v>24</v>
      </c>
      <c r="I27" s="30"/>
      <c r="J27" s="29"/>
      <c r="K27" s="30" t="s">
        <v>24</v>
      </c>
      <c r="L27" s="30"/>
      <c r="M27" s="29"/>
      <c r="N27" s="29"/>
      <c r="O27" s="31" t="s">
        <v>24</v>
      </c>
    </row>
    <row r="28">
      <c r="A28" s="32"/>
      <c r="B28" s="45" t="s">
        <v>55</v>
      </c>
      <c r="C28" s="46" t="s">
        <v>56</v>
      </c>
      <c r="D28" s="34"/>
      <c r="E28" s="35"/>
      <c r="F28" s="36"/>
      <c r="G28" s="29"/>
      <c r="H28" s="30" t="s">
        <v>24</v>
      </c>
      <c r="I28" s="30"/>
      <c r="J28" s="29"/>
      <c r="K28" s="30" t="s">
        <v>24</v>
      </c>
      <c r="L28" s="30"/>
      <c r="M28" s="29"/>
      <c r="N28" s="29"/>
      <c r="O28" s="31" t="s">
        <v>24</v>
      </c>
    </row>
    <row r="29">
      <c r="A29" s="32"/>
      <c r="B29" s="32"/>
      <c r="C29" s="46" t="s">
        <v>57</v>
      </c>
      <c r="D29" s="34"/>
      <c r="E29" s="35"/>
      <c r="F29" s="36"/>
      <c r="G29" s="29"/>
      <c r="H29" s="30" t="s">
        <v>24</v>
      </c>
      <c r="I29" s="30"/>
      <c r="J29" s="29"/>
      <c r="K29" s="30" t="s">
        <v>24</v>
      </c>
      <c r="L29" s="30"/>
      <c r="M29" s="29"/>
      <c r="N29" s="29"/>
      <c r="O29" s="31" t="s">
        <v>24</v>
      </c>
    </row>
    <row r="30">
      <c r="A30" s="32"/>
      <c r="B30" s="32"/>
      <c r="C30" s="46" t="s">
        <v>58</v>
      </c>
      <c r="D30" s="34"/>
      <c r="E30" s="35"/>
      <c r="F30" s="36"/>
      <c r="G30" s="29"/>
      <c r="H30" s="30" t="s">
        <v>24</v>
      </c>
      <c r="I30" s="30"/>
      <c r="J30" s="29"/>
      <c r="K30" s="30" t="s">
        <v>24</v>
      </c>
      <c r="L30" s="30"/>
      <c r="M30" s="29"/>
      <c r="N30" s="29"/>
      <c r="O30" s="31" t="s">
        <v>24</v>
      </c>
    </row>
    <row r="31">
      <c r="A31" s="32"/>
      <c r="B31" s="32"/>
      <c r="C31" s="49" t="s">
        <v>59</v>
      </c>
      <c r="D31" s="34"/>
      <c r="E31" s="35"/>
      <c r="F31" s="36"/>
      <c r="G31" s="29"/>
      <c r="H31" s="30" t="s">
        <v>24</v>
      </c>
      <c r="I31" s="30"/>
      <c r="J31" s="29"/>
      <c r="K31" s="30" t="s">
        <v>24</v>
      </c>
      <c r="L31" s="30"/>
      <c r="M31" s="29"/>
      <c r="N31" s="29"/>
      <c r="O31" s="31" t="s">
        <v>24</v>
      </c>
    </row>
    <row r="32">
      <c r="A32" s="32"/>
      <c r="B32" s="32"/>
      <c r="C32" s="49" t="s">
        <v>60</v>
      </c>
      <c r="D32" s="34"/>
      <c r="E32" s="35"/>
      <c r="F32" s="36"/>
      <c r="G32" s="29"/>
      <c r="H32" s="30" t="s">
        <v>24</v>
      </c>
      <c r="I32" s="30"/>
      <c r="J32" s="29"/>
      <c r="K32" s="30" t="s">
        <v>24</v>
      </c>
      <c r="L32" s="30"/>
      <c r="M32" s="29"/>
      <c r="N32" s="29"/>
      <c r="O32" s="31" t="s">
        <v>24</v>
      </c>
    </row>
    <row r="33">
      <c r="A33" s="32"/>
      <c r="B33" s="37"/>
      <c r="C33" s="48" t="s">
        <v>61</v>
      </c>
      <c r="D33" s="34"/>
      <c r="E33" s="44" t="s">
        <v>62</v>
      </c>
      <c r="F33" s="50"/>
      <c r="G33" s="29"/>
      <c r="H33" s="30" t="s">
        <v>24</v>
      </c>
      <c r="I33" s="29"/>
      <c r="J33" s="29"/>
      <c r="K33" s="30" t="s">
        <v>24</v>
      </c>
      <c r="L33" s="29"/>
      <c r="M33" s="29"/>
      <c r="N33" s="51"/>
      <c r="O33" s="31" t="s">
        <v>24</v>
      </c>
    </row>
    <row r="34">
      <c r="A34" s="32"/>
      <c r="B34" s="45" t="s">
        <v>63</v>
      </c>
      <c r="C34" s="46" t="s">
        <v>64</v>
      </c>
      <c r="D34" s="34"/>
      <c r="E34" s="35"/>
      <c r="F34" s="36"/>
      <c r="G34" s="29"/>
      <c r="H34" s="30" t="s">
        <v>24</v>
      </c>
      <c r="I34" s="30"/>
      <c r="J34" s="29"/>
      <c r="K34" s="30" t="s">
        <v>24</v>
      </c>
      <c r="L34" s="30"/>
      <c r="M34" s="29"/>
      <c r="N34" s="51"/>
      <c r="O34" s="31" t="s">
        <v>24</v>
      </c>
    </row>
    <row r="35">
      <c r="A35" s="32"/>
      <c r="B35" s="32"/>
      <c r="C35" s="46" t="s">
        <v>65</v>
      </c>
      <c r="D35" s="34"/>
      <c r="E35" s="35"/>
      <c r="F35" s="36"/>
      <c r="G35" s="29"/>
      <c r="H35" s="30" t="s">
        <v>24</v>
      </c>
      <c r="I35" s="30"/>
      <c r="J35" s="29"/>
      <c r="K35" s="30" t="s">
        <v>24</v>
      </c>
      <c r="L35" s="30"/>
      <c r="M35" s="29"/>
      <c r="N35" s="51"/>
      <c r="O35" s="31" t="s">
        <v>24</v>
      </c>
    </row>
    <row r="36">
      <c r="A36" s="32"/>
      <c r="B36" s="32"/>
      <c r="C36" s="46" t="s">
        <v>66</v>
      </c>
      <c r="D36" s="34"/>
      <c r="E36" s="35"/>
      <c r="F36" s="36"/>
      <c r="G36" s="29"/>
      <c r="H36" s="30" t="s">
        <v>24</v>
      </c>
      <c r="I36" s="30"/>
      <c r="J36" s="29"/>
      <c r="K36" s="30" t="s">
        <v>24</v>
      </c>
      <c r="L36" s="30"/>
      <c r="M36" s="29"/>
      <c r="N36" s="51"/>
      <c r="O36" s="31" t="s">
        <v>24</v>
      </c>
    </row>
    <row r="37">
      <c r="A37" s="32"/>
      <c r="B37" s="32"/>
      <c r="C37" s="52" t="s">
        <v>67</v>
      </c>
      <c r="D37" s="34"/>
      <c r="E37" s="35"/>
      <c r="F37" s="36"/>
      <c r="G37" s="29"/>
      <c r="H37" s="30" t="s">
        <v>24</v>
      </c>
      <c r="I37" s="30"/>
      <c r="J37" s="29"/>
      <c r="K37" s="30" t="s">
        <v>24</v>
      </c>
      <c r="L37" s="30"/>
      <c r="M37" s="29"/>
      <c r="N37" s="51"/>
      <c r="O37" s="31" t="s">
        <v>24</v>
      </c>
    </row>
    <row r="38">
      <c r="A38" s="32"/>
      <c r="B38" s="32"/>
      <c r="C38" s="46" t="s">
        <v>68</v>
      </c>
      <c r="D38" s="34"/>
      <c r="E38" s="35"/>
      <c r="F38" s="36"/>
      <c r="G38" s="29"/>
      <c r="H38" s="30" t="s">
        <v>24</v>
      </c>
      <c r="I38" s="30"/>
      <c r="J38" s="29"/>
      <c r="K38" s="30" t="s">
        <v>24</v>
      </c>
      <c r="L38" s="30"/>
      <c r="M38" s="29"/>
      <c r="N38" s="51"/>
      <c r="O38" s="31" t="s">
        <v>24</v>
      </c>
    </row>
    <row r="39">
      <c r="A39" s="32"/>
      <c r="B39" s="37"/>
      <c r="C39" s="33" t="s">
        <v>69</v>
      </c>
      <c r="D39" s="34"/>
      <c r="E39" s="35"/>
      <c r="F39" s="36"/>
      <c r="G39" s="29"/>
      <c r="H39" s="30" t="s">
        <v>24</v>
      </c>
      <c r="I39" s="30"/>
      <c r="J39" s="29"/>
      <c r="K39" s="30" t="s">
        <v>24</v>
      </c>
      <c r="L39" s="30"/>
      <c r="M39" s="29"/>
      <c r="N39" s="51"/>
      <c r="O39" s="31" t="s">
        <v>24</v>
      </c>
    </row>
    <row r="40">
      <c r="A40" s="32"/>
      <c r="B40" s="45" t="s">
        <v>70</v>
      </c>
      <c r="C40" s="46" t="s">
        <v>71</v>
      </c>
      <c r="D40" s="34"/>
      <c r="E40" s="35"/>
      <c r="F40" s="36"/>
      <c r="G40" s="29"/>
      <c r="H40" s="30" t="s">
        <v>24</v>
      </c>
      <c r="I40" s="30"/>
      <c r="J40" s="29"/>
      <c r="K40" s="30" t="s">
        <v>24</v>
      </c>
      <c r="L40" s="30"/>
      <c r="M40" s="29"/>
      <c r="N40" s="51"/>
      <c r="O40" s="31" t="s">
        <v>24</v>
      </c>
    </row>
    <row r="41">
      <c r="A41" s="32"/>
      <c r="B41" s="37"/>
      <c r="C41" s="46" t="s">
        <v>72</v>
      </c>
      <c r="D41" s="34"/>
      <c r="E41" s="35"/>
      <c r="F41" s="36"/>
      <c r="G41" s="29"/>
      <c r="H41" s="30" t="s">
        <v>24</v>
      </c>
      <c r="I41" s="30"/>
      <c r="J41" s="29"/>
      <c r="K41" s="30" t="s">
        <v>24</v>
      </c>
      <c r="L41" s="30"/>
      <c r="M41" s="29"/>
      <c r="N41" s="51"/>
      <c r="O41" s="31" t="s">
        <v>24</v>
      </c>
    </row>
    <row r="42">
      <c r="A42" s="32"/>
      <c r="B42" s="53" t="s">
        <v>73</v>
      </c>
      <c r="C42" s="46" t="s">
        <v>74</v>
      </c>
      <c r="D42" s="34"/>
      <c r="E42" s="54"/>
      <c r="F42" s="50"/>
      <c r="G42" s="29"/>
      <c r="H42" s="30" t="s">
        <v>24</v>
      </c>
      <c r="I42" s="30"/>
      <c r="J42" s="29"/>
      <c r="K42" s="30" t="s">
        <v>24</v>
      </c>
      <c r="L42" s="30"/>
      <c r="M42" s="29"/>
      <c r="N42" s="51"/>
      <c r="O42" s="31" t="s">
        <v>24</v>
      </c>
    </row>
    <row r="43">
      <c r="A43" s="32"/>
      <c r="B43" s="32"/>
      <c r="C43" s="55" t="s">
        <v>75</v>
      </c>
      <c r="D43" s="34"/>
      <c r="E43" s="54"/>
      <c r="F43" s="56"/>
      <c r="G43" s="29"/>
      <c r="H43" s="30" t="s">
        <v>24</v>
      </c>
      <c r="I43" s="30"/>
      <c r="J43" s="29"/>
      <c r="K43" s="30" t="s">
        <v>24</v>
      </c>
      <c r="L43" s="30"/>
      <c r="M43" s="29"/>
      <c r="N43" s="51"/>
      <c r="O43" s="31" t="s">
        <v>24</v>
      </c>
    </row>
    <row r="44">
      <c r="A44" s="32"/>
      <c r="B44" s="32"/>
      <c r="C44" s="46" t="s">
        <v>76</v>
      </c>
      <c r="D44" s="34"/>
      <c r="E44" s="44" t="s">
        <v>77</v>
      </c>
      <c r="F44" s="36"/>
      <c r="G44" s="29"/>
      <c r="H44" s="30" t="s">
        <v>24</v>
      </c>
      <c r="I44" s="29"/>
      <c r="J44" s="29"/>
      <c r="K44" s="30" t="s">
        <v>24</v>
      </c>
      <c r="L44" s="29"/>
      <c r="M44" s="29"/>
      <c r="N44" s="51"/>
      <c r="O44" s="31" t="s">
        <v>24</v>
      </c>
    </row>
    <row r="45">
      <c r="A45" s="32"/>
      <c r="B45" s="37"/>
      <c r="C45" s="57" t="s">
        <v>78</v>
      </c>
      <c r="D45" s="34"/>
      <c r="F45" s="36"/>
      <c r="G45" s="29"/>
      <c r="H45" s="30" t="s">
        <v>24</v>
      </c>
      <c r="I45" s="29"/>
      <c r="J45" s="29"/>
      <c r="K45" s="30" t="s">
        <v>24</v>
      </c>
      <c r="L45" s="29"/>
      <c r="M45" s="29"/>
      <c r="N45" s="51"/>
      <c r="O45" s="31" t="s">
        <v>24</v>
      </c>
    </row>
    <row r="46">
      <c r="A46" s="32"/>
      <c r="B46" s="45" t="s">
        <v>79</v>
      </c>
      <c r="C46" s="46" t="s">
        <v>80</v>
      </c>
      <c r="D46" s="34"/>
      <c r="E46" s="35"/>
      <c r="F46" s="36"/>
      <c r="G46" s="29"/>
      <c r="H46" s="30" t="s">
        <v>24</v>
      </c>
      <c r="I46" s="42"/>
      <c r="J46" s="29"/>
      <c r="K46" s="30" t="s">
        <v>24</v>
      </c>
      <c r="L46" s="42"/>
      <c r="M46" s="29"/>
      <c r="N46" s="51"/>
      <c r="O46" s="31" t="s">
        <v>24</v>
      </c>
    </row>
    <row r="47">
      <c r="A47" s="32"/>
      <c r="B47" s="32"/>
      <c r="C47" s="55" t="s">
        <v>81</v>
      </c>
      <c r="D47" s="34"/>
      <c r="E47" s="35"/>
      <c r="F47" s="36"/>
      <c r="G47" s="29"/>
      <c r="H47" s="30" t="s">
        <v>24</v>
      </c>
      <c r="I47" s="29"/>
      <c r="J47" s="29"/>
      <c r="K47" s="30" t="s">
        <v>24</v>
      </c>
      <c r="L47" s="29"/>
      <c r="M47" s="29"/>
      <c r="N47" s="51"/>
      <c r="O47" s="31" t="s">
        <v>24</v>
      </c>
    </row>
    <row r="48">
      <c r="A48" s="32"/>
      <c r="B48" s="32"/>
      <c r="C48" s="55" t="s">
        <v>82</v>
      </c>
      <c r="D48" s="34"/>
      <c r="E48" s="35"/>
      <c r="F48" s="58" t="s">
        <v>83</v>
      </c>
      <c r="G48" s="29"/>
      <c r="H48" s="30" t="s">
        <v>24</v>
      </c>
      <c r="I48" s="29"/>
      <c r="J48" s="29"/>
      <c r="K48" s="30" t="s">
        <v>24</v>
      </c>
      <c r="L48" s="29"/>
      <c r="M48" s="29"/>
      <c r="N48" s="51"/>
      <c r="O48" s="31" t="s">
        <v>24</v>
      </c>
    </row>
    <row r="49">
      <c r="A49" s="32"/>
      <c r="B49" s="37"/>
      <c r="C49" s="55" t="s">
        <v>84</v>
      </c>
      <c r="D49" s="34"/>
      <c r="E49" s="35"/>
      <c r="F49" s="56"/>
      <c r="G49" s="29"/>
      <c r="H49" s="30" t="s">
        <v>24</v>
      </c>
      <c r="I49" s="29"/>
      <c r="J49" s="29"/>
      <c r="K49" s="30" t="s">
        <v>24</v>
      </c>
      <c r="L49" s="29"/>
      <c r="M49" s="29"/>
      <c r="N49" s="51"/>
      <c r="O49" s="31" t="s">
        <v>24</v>
      </c>
    </row>
    <row r="50">
      <c r="A50" s="32"/>
      <c r="B50" s="45" t="s">
        <v>85</v>
      </c>
      <c r="C50" s="59" t="s">
        <v>86</v>
      </c>
      <c r="D50" s="34"/>
      <c r="E50" s="44" t="s">
        <v>34</v>
      </c>
      <c r="F50" s="56"/>
      <c r="G50" s="30"/>
      <c r="H50" s="30" t="s">
        <v>24</v>
      </c>
      <c r="I50" s="29"/>
      <c r="J50" s="30"/>
      <c r="K50" s="30" t="s">
        <v>24</v>
      </c>
      <c r="L50" s="29"/>
      <c r="M50" s="30"/>
      <c r="N50" s="51"/>
      <c r="O50" s="31" t="s">
        <v>24</v>
      </c>
    </row>
    <row r="51">
      <c r="A51" s="32"/>
      <c r="B51" s="32"/>
      <c r="C51" s="60" t="s">
        <v>87</v>
      </c>
      <c r="D51" s="34"/>
      <c r="E51" s="34"/>
      <c r="F51" s="58" t="s">
        <v>38</v>
      </c>
      <c r="G51" s="30"/>
      <c r="H51" s="30" t="s">
        <v>24</v>
      </c>
      <c r="I51" s="29"/>
      <c r="J51" s="30"/>
      <c r="K51" s="30" t="s">
        <v>24</v>
      </c>
      <c r="L51" s="29"/>
      <c r="M51" s="30"/>
      <c r="N51" s="51"/>
      <c r="O51" s="31" t="s">
        <v>24</v>
      </c>
    </row>
    <row r="52">
      <c r="A52" s="32"/>
      <c r="B52" s="32"/>
      <c r="C52" s="61" t="s">
        <v>88</v>
      </c>
      <c r="D52" s="34"/>
      <c r="E52" s="34"/>
      <c r="F52" s="56"/>
      <c r="G52" s="30"/>
      <c r="H52" s="30" t="s">
        <v>24</v>
      </c>
      <c r="I52" s="29"/>
      <c r="J52" s="30"/>
      <c r="K52" s="30" t="s">
        <v>24</v>
      </c>
      <c r="L52" s="29"/>
      <c r="M52" s="30"/>
      <c r="N52" s="51"/>
      <c r="O52" s="31" t="s">
        <v>24</v>
      </c>
    </row>
    <row r="53">
      <c r="A53" s="32"/>
      <c r="B53" s="32"/>
      <c r="C53" s="55" t="s">
        <v>89</v>
      </c>
      <c r="D53" s="34"/>
      <c r="E53" s="35"/>
      <c r="F53" s="36"/>
      <c r="G53" s="30"/>
      <c r="H53" s="30" t="s">
        <v>24</v>
      </c>
      <c r="I53" s="29"/>
      <c r="J53" s="30"/>
      <c r="K53" s="30" t="s">
        <v>24</v>
      </c>
      <c r="L53" s="29"/>
      <c r="M53" s="30"/>
      <c r="N53" s="51"/>
      <c r="O53" s="31" t="s">
        <v>24</v>
      </c>
    </row>
    <row r="54">
      <c r="A54" s="32"/>
      <c r="B54" s="32"/>
      <c r="C54" s="55" t="s">
        <v>90</v>
      </c>
      <c r="D54" s="34"/>
      <c r="E54" s="35"/>
      <c r="F54" s="36"/>
      <c r="G54" s="30"/>
      <c r="H54" s="30" t="s">
        <v>24</v>
      </c>
      <c r="I54" s="29"/>
      <c r="J54" s="30"/>
      <c r="K54" s="30" t="s">
        <v>24</v>
      </c>
      <c r="L54" s="29"/>
      <c r="M54" s="30"/>
      <c r="N54" s="51"/>
      <c r="O54" s="31" t="s">
        <v>24</v>
      </c>
    </row>
    <row r="55">
      <c r="A55" s="32"/>
      <c r="B55" s="32"/>
      <c r="C55" s="62" t="s">
        <v>91</v>
      </c>
      <c r="D55" s="34"/>
      <c r="E55" s="35"/>
      <c r="F55" s="36"/>
      <c r="G55" s="30"/>
      <c r="H55" s="30" t="s">
        <v>24</v>
      </c>
      <c r="I55" s="29"/>
      <c r="J55" s="30"/>
      <c r="K55" s="30" t="s">
        <v>24</v>
      </c>
      <c r="L55" s="29"/>
      <c r="M55" s="30"/>
      <c r="N55" s="51"/>
      <c r="O55" s="31" t="s">
        <v>24</v>
      </c>
    </row>
    <row r="56">
      <c r="A56" s="32"/>
      <c r="B56" s="37"/>
      <c r="C56" s="55" t="s">
        <v>92</v>
      </c>
      <c r="D56" s="34"/>
      <c r="E56" s="35"/>
      <c r="F56" s="56"/>
      <c r="G56" s="30"/>
      <c r="H56" s="30" t="s">
        <v>24</v>
      </c>
      <c r="I56" s="29"/>
      <c r="J56" s="30"/>
      <c r="K56" s="30" t="s">
        <v>24</v>
      </c>
      <c r="L56" s="29"/>
      <c r="M56" s="30"/>
      <c r="N56" s="51"/>
      <c r="O56" s="29"/>
    </row>
    <row r="57">
      <c r="A57" s="32"/>
      <c r="B57" s="45" t="s">
        <v>93</v>
      </c>
      <c r="C57" s="63" t="s">
        <v>94</v>
      </c>
      <c r="D57" s="34"/>
      <c r="E57" s="35"/>
      <c r="F57" s="56"/>
      <c r="G57" s="30"/>
      <c r="H57" s="30" t="s">
        <v>24</v>
      </c>
      <c r="I57" s="29"/>
      <c r="J57" s="30"/>
      <c r="K57" s="30" t="s">
        <v>24</v>
      </c>
      <c r="L57" s="29"/>
      <c r="M57" s="30"/>
      <c r="N57" s="51"/>
      <c r="O57" s="29"/>
    </row>
    <row r="58">
      <c r="A58" s="32"/>
      <c r="B58" s="37"/>
      <c r="C58" s="64" t="s">
        <v>95</v>
      </c>
      <c r="D58" s="34"/>
      <c r="E58" s="65" t="s">
        <v>96</v>
      </c>
      <c r="F58" s="66" t="s">
        <v>97</v>
      </c>
      <c r="G58" s="30"/>
      <c r="H58" s="30" t="s">
        <v>24</v>
      </c>
      <c r="I58" s="29"/>
      <c r="J58" s="30"/>
      <c r="K58" s="30" t="s">
        <v>24</v>
      </c>
      <c r="L58" s="29"/>
      <c r="M58" s="30"/>
      <c r="N58" s="51"/>
      <c r="O58" s="29" t="s">
        <v>24</v>
      </c>
    </row>
    <row r="59">
      <c r="A59" s="32"/>
      <c r="B59" s="45" t="s">
        <v>98</v>
      </c>
      <c r="C59" s="60" t="s">
        <v>99</v>
      </c>
      <c r="D59" s="34"/>
      <c r="E59" s="44" t="s">
        <v>100</v>
      </c>
      <c r="F59" s="58" t="s">
        <v>101</v>
      </c>
      <c r="G59" s="29"/>
      <c r="H59" s="30" t="s">
        <v>24</v>
      </c>
      <c r="I59" s="29"/>
      <c r="J59" s="29"/>
      <c r="K59" s="30" t="s">
        <v>24</v>
      </c>
      <c r="L59" s="29"/>
      <c r="M59" s="29"/>
      <c r="N59" s="51"/>
      <c r="O59" s="29"/>
    </row>
    <row r="60">
      <c r="A60" s="32"/>
      <c r="B60" s="32"/>
      <c r="C60" s="49" t="s">
        <v>102</v>
      </c>
      <c r="D60" s="34"/>
      <c r="E60" s="67" t="s">
        <v>100</v>
      </c>
      <c r="F60" s="58" t="s">
        <v>103</v>
      </c>
      <c r="G60" s="30"/>
      <c r="H60" s="30" t="s">
        <v>24</v>
      </c>
      <c r="I60" s="29"/>
      <c r="J60" s="30"/>
      <c r="K60" s="30" t="s">
        <v>24</v>
      </c>
      <c r="L60" s="29"/>
      <c r="M60" s="30"/>
      <c r="N60" s="51"/>
      <c r="O60" s="29"/>
    </row>
    <row r="61">
      <c r="A61" s="32"/>
      <c r="B61" s="32"/>
      <c r="C61" s="46" t="s">
        <v>104</v>
      </c>
      <c r="D61" s="34"/>
      <c r="E61" s="34"/>
      <c r="F61" s="66" t="s">
        <v>105</v>
      </c>
      <c r="G61" s="30"/>
      <c r="H61" s="51"/>
      <c r="I61" s="30"/>
      <c r="J61" s="30"/>
      <c r="K61" s="51"/>
      <c r="L61" s="30"/>
      <c r="M61" s="30"/>
      <c r="N61" s="51"/>
      <c r="O61" s="30"/>
    </row>
    <row r="62">
      <c r="A62" s="37"/>
      <c r="B62" s="37"/>
      <c r="C62" s="68" t="s">
        <v>106</v>
      </c>
      <c r="D62" s="69"/>
      <c r="E62" s="69"/>
      <c r="F62" s="70" t="s">
        <v>107</v>
      </c>
      <c r="G62" s="30"/>
      <c r="H62" s="51"/>
      <c r="I62" s="30"/>
      <c r="J62" s="30"/>
      <c r="K62" s="51"/>
      <c r="L62" s="30"/>
      <c r="M62" s="30"/>
      <c r="N62" s="51"/>
      <c r="O62" s="30"/>
    </row>
    <row r="63">
      <c r="A63" s="71" t="s">
        <v>108</v>
      </c>
      <c r="B63" s="72" t="s">
        <v>109</v>
      </c>
      <c r="C63" s="73" t="s">
        <v>110</v>
      </c>
      <c r="D63" s="74"/>
      <c r="E63" s="74"/>
      <c r="F63" s="75"/>
      <c r="G63" s="30"/>
      <c r="H63" s="76" t="s">
        <v>111</v>
      </c>
      <c r="I63" s="30"/>
      <c r="J63" s="30"/>
      <c r="K63" s="30" t="s">
        <v>24</v>
      </c>
      <c r="L63" s="30"/>
      <c r="M63" s="30"/>
      <c r="N63" s="51"/>
      <c r="O63" s="30"/>
    </row>
    <row r="64">
      <c r="A64" s="32"/>
      <c r="B64" s="32"/>
      <c r="C64" s="77" t="s">
        <v>112</v>
      </c>
      <c r="D64" s="78"/>
      <c r="E64" s="78"/>
      <c r="F64" s="79"/>
      <c r="G64" s="30"/>
      <c r="H64" s="30" t="s">
        <v>24</v>
      </c>
      <c r="I64" s="30"/>
      <c r="J64" s="30"/>
      <c r="K64" s="30" t="s">
        <v>24</v>
      </c>
      <c r="L64" s="30"/>
      <c r="M64" s="30"/>
      <c r="N64" s="51"/>
      <c r="O64" s="30"/>
    </row>
    <row r="65">
      <c r="A65" s="32"/>
      <c r="B65" s="32"/>
      <c r="C65" s="80" t="s">
        <v>113</v>
      </c>
      <c r="D65" s="78"/>
      <c r="E65" s="81"/>
      <c r="F65" s="82" t="s">
        <v>38</v>
      </c>
      <c r="G65" s="30"/>
      <c r="H65" s="30" t="s">
        <v>24</v>
      </c>
      <c r="I65" s="30"/>
      <c r="J65" s="30"/>
      <c r="K65" s="30" t="s">
        <v>24</v>
      </c>
      <c r="L65" s="30"/>
      <c r="M65" s="30"/>
      <c r="N65" s="51"/>
      <c r="O65" s="30"/>
    </row>
    <row r="66">
      <c r="A66" s="32"/>
      <c r="B66" s="32"/>
      <c r="C66" s="83" t="s">
        <v>114</v>
      </c>
      <c r="D66" s="78"/>
      <c r="E66" s="84" t="s">
        <v>115</v>
      </c>
      <c r="F66" s="79"/>
      <c r="G66" s="30"/>
      <c r="H66" s="30" t="s">
        <v>24</v>
      </c>
      <c r="I66" s="30"/>
      <c r="J66" s="30"/>
      <c r="K66" s="30" t="s">
        <v>24</v>
      </c>
      <c r="L66" s="30"/>
      <c r="M66" s="30"/>
      <c r="N66" s="51"/>
      <c r="O66" s="30"/>
    </row>
    <row r="67">
      <c r="A67" s="32"/>
      <c r="B67" s="32"/>
      <c r="C67" s="85" t="s">
        <v>116</v>
      </c>
      <c r="D67" s="78"/>
      <c r="E67" s="78"/>
      <c r="F67" s="86" t="s">
        <v>117</v>
      </c>
      <c r="G67" s="30"/>
      <c r="H67" s="30" t="s">
        <v>24</v>
      </c>
      <c r="I67" s="30"/>
      <c r="J67" s="30"/>
      <c r="K67" s="30" t="s">
        <v>24</v>
      </c>
      <c r="L67" s="30"/>
      <c r="M67" s="30"/>
      <c r="N67" s="51"/>
      <c r="O67" s="30"/>
    </row>
    <row r="68">
      <c r="A68" s="32"/>
      <c r="B68" s="32"/>
      <c r="C68" s="87" t="s">
        <v>118</v>
      </c>
      <c r="D68" s="78"/>
      <c r="E68" s="88" t="s">
        <v>119</v>
      </c>
      <c r="F68" s="89"/>
      <c r="G68" s="30"/>
      <c r="H68" s="30" t="s">
        <v>24</v>
      </c>
      <c r="I68" s="30"/>
      <c r="J68" s="30"/>
      <c r="K68" s="30" t="s">
        <v>24</v>
      </c>
      <c r="L68" s="30"/>
      <c r="M68" s="30"/>
      <c r="N68" s="51"/>
      <c r="O68" s="30"/>
    </row>
    <row r="69">
      <c r="A69" s="32"/>
      <c r="B69" s="32"/>
      <c r="C69" s="90" t="s">
        <v>120</v>
      </c>
      <c r="D69" s="78"/>
      <c r="E69" s="84" t="s">
        <v>121</v>
      </c>
      <c r="F69" s="86" t="s">
        <v>122</v>
      </c>
      <c r="G69" s="30"/>
      <c r="H69" s="30" t="s">
        <v>24</v>
      </c>
      <c r="I69" s="30"/>
      <c r="J69" s="30"/>
      <c r="K69" s="30" t="s">
        <v>24</v>
      </c>
      <c r="L69" s="30"/>
      <c r="M69" s="30"/>
      <c r="N69" s="51"/>
      <c r="O69" s="30" t="s">
        <v>24</v>
      </c>
    </row>
    <row r="70">
      <c r="A70" s="32"/>
      <c r="B70" s="32"/>
      <c r="C70" s="91" t="s">
        <v>123</v>
      </c>
      <c r="D70" s="78"/>
      <c r="E70" s="78"/>
      <c r="F70" s="86" t="s">
        <v>124</v>
      </c>
      <c r="G70" s="30"/>
      <c r="H70" s="30" t="s">
        <v>24</v>
      </c>
      <c r="I70" s="30"/>
      <c r="J70" s="30"/>
      <c r="K70" s="30" t="s">
        <v>24</v>
      </c>
      <c r="L70" s="30"/>
      <c r="M70" s="30"/>
      <c r="N70" s="51"/>
      <c r="O70" s="30" t="s">
        <v>24</v>
      </c>
    </row>
    <row r="71">
      <c r="A71" s="32"/>
      <c r="B71" s="32"/>
      <c r="C71" s="92" t="s">
        <v>125</v>
      </c>
      <c r="D71" s="78"/>
      <c r="E71" s="78"/>
      <c r="F71" s="86" t="s">
        <v>126</v>
      </c>
      <c r="G71" s="30"/>
      <c r="H71" s="30" t="s">
        <v>24</v>
      </c>
      <c r="I71" s="30"/>
      <c r="J71" s="30"/>
      <c r="K71" s="30" t="s">
        <v>24</v>
      </c>
      <c r="L71" s="30"/>
      <c r="M71" s="30"/>
      <c r="N71" s="51"/>
      <c r="O71" s="30" t="s">
        <v>24</v>
      </c>
    </row>
    <row r="72">
      <c r="A72" s="32"/>
      <c r="B72" s="32"/>
      <c r="C72" s="77" t="s">
        <v>127</v>
      </c>
      <c r="D72" s="78"/>
      <c r="E72" s="78"/>
      <c r="F72" s="86" t="s">
        <v>128</v>
      </c>
      <c r="G72" s="30"/>
      <c r="H72" s="30" t="s">
        <v>24</v>
      </c>
      <c r="I72" s="30"/>
      <c r="J72" s="30"/>
      <c r="K72" s="30" t="s">
        <v>24</v>
      </c>
      <c r="L72" s="30"/>
      <c r="M72" s="30"/>
      <c r="N72" s="51"/>
      <c r="O72" s="30" t="s">
        <v>24</v>
      </c>
    </row>
    <row r="73">
      <c r="A73" s="32"/>
      <c r="B73" s="32"/>
      <c r="C73" s="93" t="s">
        <v>129</v>
      </c>
      <c r="D73" s="78"/>
      <c r="E73" s="94" t="s">
        <v>130</v>
      </c>
      <c r="F73" s="79"/>
      <c r="G73" s="30"/>
      <c r="H73" s="30" t="s">
        <v>24</v>
      </c>
      <c r="I73" s="30"/>
      <c r="J73" s="30"/>
      <c r="K73" s="30" t="s">
        <v>24</v>
      </c>
      <c r="L73" s="30"/>
      <c r="M73" s="30"/>
      <c r="N73" s="51"/>
      <c r="O73" s="30" t="s">
        <v>24</v>
      </c>
    </row>
    <row r="74">
      <c r="A74" s="32"/>
      <c r="B74" s="32"/>
      <c r="C74" s="95" t="s">
        <v>131</v>
      </c>
      <c r="D74" s="78"/>
      <c r="E74" s="78"/>
      <c r="F74" s="79"/>
      <c r="G74" s="30"/>
      <c r="H74" s="30" t="s">
        <v>24</v>
      </c>
      <c r="I74" s="30"/>
      <c r="J74" s="30"/>
      <c r="K74" s="30" t="s">
        <v>24</v>
      </c>
      <c r="L74" s="30"/>
      <c r="M74" s="30"/>
      <c r="N74" s="51"/>
      <c r="O74" s="30" t="s">
        <v>24</v>
      </c>
    </row>
    <row r="75">
      <c r="A75" s="32"/>
      <c r="B75" s="32"/>
      <c r="C75" s="96" t="s">
        <v>132</v>
      </c>
      <c r="D75" s="78"/>
      <c r="E75" s="78"/>
      <c r="F75" s="97" t="s">
        <v>133</v>
      </c>
      <c r="G75" s="29"/>
      <c r="H75" s="30" t="s">
        <v>24</v>
      </c>
      <c r="I75" s="29"/>
      <c r="J75" s="29"/>
      <c r="K75" s="30" t="s">
        <v>24</v>
      </c>
      <c r="L75" s="29"/>
      <c r="M75" s="29"/>
      <c r="N75" s="51"/>
      <c r="O75" s="30" t="s">
        <v>24</v>
      </c>
    </row>
    <row r="76">
      <c r="A76" s="32"/>
      <c r="B76" s="32"/>
      <c r="C76" s="98" t="s">
        <v>134</v>
      </c>
      <c r="D76" s="78"/>
      <c r="E76" s="99" t="s">
        <v>135</v>
      </c>
      <c r="F76" s="100" t="s">
        <v>136</v>
      </c>
      <c r="G76" s="29"/>
      <c r="H76" s="30" t="s">
        <v>24</v>
      </c>
      <c r="I76" s="29"/>
      <c r="J76" s="29"/>
      <c r="K76" s="30" t="s">
        <v>24</v>
      </c>
      <c r="L76" s="29"/>
      <c r="M76" s="29"/>
      <c r="N76" s="51"/>
      <c r="O76" s="30" t="s">
        <v>24</v>
      </c>
    </row>
    <row r="77">
      <c r="A77" s="32"/>
      <c r="B77" s="32"/>
      <c r="C77" s="92" t="s">
        <v>137</v>
      </c>
      <c r="D77" s="78"/>
      <c r="E77" s="78"/>
      <c r="F77" s="79"/>
      <c r="G77" s="29"/>
      <c r="H77" s="30" t="s">
        <v>24</v>
      </c>
      <c r="I77" s="29"/>
      <c r="J77" s="29"/>
      <c r="K77" s="30" t="s">
        <v>24</v>
      </c>
      <c r="L77" s="29"/>
      <c r="M77" s="29"/>
      <c r="N77" s="51"/>
      <c r="O77" s="30" t="s">
        <v>24</v>
      </c>
    </row>
    <row r="78">
      <c r="A78" s="32"/>
      <c r="B78" s="32"/>
      <c r="C78" s="92" t="s">
        <v>138</v>
      </c>
      <c r="D78" s="78"/>
      <c r="E78" s="78"/>
      <c r="F78" s="79"/>
      <c r="G78" s="29"/>
      <c r="H78" s="30" t="s">
        <v>24</v>
      </c>
      <c r="I78" s="29"/>
      <c r="J78" s="29"/>
      <c r="K78" s="30" t="s">
        <v>24</v>
      </c>
      <c r="L78" s="29"/>
      <c r="M78" s="29"/>
      <c r="N78" s="29"/>
      <c r="O78" s="29"/>
    </row>
    <row r="79">
      <c r="A79" s="32"/>
      <c r="B79" s="37"/>
      <c r="C79" s="101" t="s">
        <v>139</v>
      </c>
      <c r="D79" s="78"/>
      <c r="E79" s="78"/>
      <c r="F79" s="79"/>
      <c r="G79" s="29"/>
      <c r="H79" s="30" t="s">
        <v>24</v>
      </c>
      <c r="I79" s="29"/>
      <c r="J79" s="29"/>
      <c r="K79" s="30" t="s">
        <v>24</v>
      </c>
      <c r="L79" s="29"/>
      <c r="M79" s="29"/>
      <c r="N79" s="29"/>
      <c r="O79" s="29"/>
    </row>
    <row r="80">
      <c r="A80" s="32"/>
      <c r="B80" s="102" t="s">
        <v>140</v>
      </c>
      <c r="C80" s="103" t="s">
        <v>141</v>
      </c>
      <c r="D80" s="99" t="s">
        <v>142</v>
      </c>
      <c r="E80" s="104" t="s">
        <v>143</v>
      </c>
      <c r="F80" s="79"/>
      <c r="G80" s="29"/>
      <c r="H80" s="30" t="s">
        <v>144</v>
      </c>
      <c r="I80" s="105"/>
      <c r="J80" s="29"/>
      <c r="K80" s="30" t="s">
        <v>24</v>
      </c>
      <c r="L80" s="105" t="s">
        <v>144</v>
      </c>
      <c r="M80" s="29"/>
      <c r="N80" s="105"/>
      <c r="O80" s="105" t="s">
        <v>144</v>
      </c>
    </row>
    <row r="81">
      <c r="A81" s="32"/>
      <c r="B81" s="32"/>
      <c r="C81" s="106" t="s">
        <v>145</v>
      </c>
      <c r="D81" s="78"/>
      <c r="E81" s="78"/>
      <c r="F81" s="89"/>
      <c r="G81" s="29"/>
      <c r="H81" s="30" t="s">
        <v>24</v>
      </c>
      <c r="I81" s="29"/>
      <c r="J81" s="29"/>
      <c r="K81" s="30" t="s">
        <v>24</v>
      </c>
      <c r="L81" s="29"/>
      <c r="M81" s="29"/>
      <c r="N81" s="29"/>
      <c r="O81" s="29"/>
    </row>
    <row r="82">
      <c r="A82" s="32"/>
      <c r="B82" s="32"/>
      <c r="C82" s="93" t="s">
        <v>146</v>
      </c>
      <c r="D82" s="78"/>
      <c r="E82" s="78"/>
      <c r="F82" s="86" t="s">
        <v>147</v>
      </c>
      <c r="G82" s="29"/>
      <c r="H82" s="29" t="s">
        <v>24</v>
      </c>
      <c r="I82" s="29"/>
      <c r="J82" s="29"/>
      <c r="K82" s="29" t="s">
        <v>24</v>
      </c>
      <c r="L82" s="29"/>
      <c r="M82" s="29"/>
      <c r="N82" s="29"/>
      <c r="O82" s="29"/>
    </row>
    <row r="83">
      <c r="A83" s="32"/>
      <c r="B83" s="32"/>
      <c r="C83" s="107" t="s">
        <v>148</v>
      </c>
      <c r="D83" s="78"/>
      <c r="E83" s="78"/>
      <c r="F83" s="86" t="s">
        <v>149</v>
      </c>
      <c r="G83" s="29"/>
      <c r="H83" s="29" t="s">
        <v>24</v>
      </c>
      <c r="I83" s="29"/>
      <c r="J83" s="29"/>
      <c r="K83" s="29" t="s">
        <v>24</v>
      </c>
      <c r="L83" s="29"/>
      <c r="M83" s="29"/>
      <c r="N83" s="29"/>
      <c r="O83" s="29"/>
    </row>
    <row r="84">
      <c r="A84" s="32"/>
      <c r="B84" s="32"/>
      <c r="C84" s="108" t="s">
        <v>150</v>
      </c>
      <c r="D84" s="78"/>
      <c r="E84" s="78"/>
      <c r="F84" s="86" t="s">
        <v>149</v>
      </c>
      <c r="G84" s="30"/>
      <c r="H84" s="30" t="s">
        <v>24</v>
      </c>
      <c r="I84" s="29"/>
      <c r="J84" s="30"/>
      <c r="K84" s="30" t="s">
        <v>24</v>
      </c>
      <c r="L84" s="29"/>
      <c r="M84" s="30"/>
      <c r="N84" s="30"/>
      <c r="O84" s="29"/>
    </row>
    <row r="85">
      <c r="A85" s="32"/>
      <c r="B85" s="32"/>
      <c r="C85" s="109" t="s">
        <v>151</v>
      </c>
      <c r="D85" s="78"/>
      <c r="E85" s="99" t="s">
        <v>152</v>
      </c>
      <c r="F85" s="82" t="s">
        <v>153</v>
      </c>
      <c r="G85" s="30"/>
      <c r="H85" s="30" t="s">
        <v>24</v>
      </c>
      <c r="I85" s="29"/>
      <c r="J85" s="30"/>
      <c r="K85" s="30"/>
      <c r="L85" s="29"/>
      <c r="M85" s="30"/>
      <c r="N85" s="30"/>
      <c r="O85" s="29"/>
    </row>
    <row r="86">
      <c r="A86" s="32"/>
      <c r="B86" s="32"/>
      <c r="C86" s="110" t="s">
        <v>154</v>
      </c>
      <c r="D86" s="78"/>
      <c r="E86" s="78"/>
      <c r="F86" s="79"/>
      <c r="G86" s="30"/>
      <c r="H86" s="30" t="s">
        <v>24</v>
      </c>
      <c r="I86" s="30"/>
      <c r="J86" s="30"/>
      <c r="K86" s="30"/>
      <c r="L86" s="30"/>
      <c r="M86" s="30"/>
      <c r="N86" s="30"/>
      <c r="O86" s="30"/>
    </row>
    <row r="87">
      <c r="A87" s="32"/>
      <c r="B87" s="32"/>
      <c r="C87" s="111" t="s">
        <v>155</v>
      </c>
      <c r="D87" s="78"/>
      <c r="E87" s="78"/>
      <c r="F87" s="100" t="s">
        <v>156</v>
      </c>
      <c r="G87" s="30"/>
      <c r="H87" s="30" t="s">
        <v>24</v>
      </c>
      <c r="I87" s="30"/>
      <c r="J87" s="30"/>
      <c r="K87" s="30"/>
      <c r="L87" s="30"/>
      <c r="M87" s="30"/>
      <c r="N87" s="30"/>
      <c r="O87" s="30"/>
    </row>
    <row r="88">
      <c r="A88" s="32"/>
      <c r="B88" s="32"/>
      <c r="C88" s="112" t="s">
        <v>157</v>
      </c>
      <c r="D88" s="78"/>
      <c r="E88" s="84" t="s">
        <v>158</v>
      </c>
      <c r="F88" s="79"/>
      <c r="G88" s="30"/>
      <c r="H88" s="30" t="s">
        <v>24</v>
      </c>
      <c r="I88" s="30"/>
      <c r="J88" s="30"/>
      <c r="K88" s="30"/>
      <c r="L88" s="30"/>
      <c r="M88" s="30"/>
      <c r="N88" s="30"/>
      <c r="O88" s="30"/>
    </row>
    <row r="89">
      <c r="A89" s="32"/>
      <c r="B89" s="32"/>
      <c r="C89" s="83" t="s">
        <v>159</v>
      </c>
      <c r="D89" s="78"/>
      <c r="E89" s="99" t="s">
        <v>160</v>
      </c>
      <c r="F89" s="79"/>
      <c r="G89" s="30"/>
      <c r="H89" s="30" t="s">
        <v>24</v>
      </c>
      <c r="I89" s="30"/>
      <c r="J89" s="30"/>
      <c r="K89" s="30" t="s">
        <v>24</v>
      </c>
      <c r="L89" s="30"/>
      <c r="M89" s="30"/>
      <c r="N89" s="30"/>
      <c r="O89" s="30" t="s">
        <v>24</v>
      </c>
    </row>
    <row r="90">
      <c r="A90" s="32"/>
      <c r="B90" s="32"/>
      <c r="C90" s="93" t="s">
        <v>161</v>
      </c>
      <c r="D90" s="78"/>
      <c r="E90" s="78"/>
      <c r="F90" s="79"/>
      <c r="G90" s="30"/>
      <c r="H90" s="30" t="s">
        <v>24</v>
      </c>
      <c r="I90" s="30"/>
      <c r="J90" s="30"/>
      <c r="K90" s="30" t="s">
        <v>24</v>
      </c>
      <c r="L90" s="30"/>
      <c r="M90" s="30"/>
      <c r="N90" s="30"/>
      <c r="O90" s="30" t="s">
        <v>24</v>
      </c>
    </row>
    <row r="91">
      <c r="A91" s="32"/>
      <c r="B91" s="32"/>
      <c r="C91" s="93" t="s">
        <v>162</v>
      </c>
      <c r="D91" s="78"/>
      <c r="E91" s="99" t="s">
        <v>163</v>
      </c>
      <c r="F91" s="113"/>
      <c r="G91" s="30"/>
      <c r="H91" s="30" t="s">
        <v>24</v>
      </c>
      <c r="I91" s="30"/>
      <c r="J91" s="30"/>
      <c r="K91" s="30" t="s">
        <v>24</v>
      </c>
      <c r="L91" s="30"/>
      <c r="M91" s="30"/>
      <c r="N91" s="30"/>
      <c r="O91" s="30" t="s">
        <v>24</v>
      </c>
    </row>
    <row r="92">
      <c r="A92" s="32"/>
      <c r="B92" s="32"/>
      <c r="C92" s="106" t="s">
        <v>164</v>
      </c>
      <c r="D92" s="78"/>
      <c r="E92" s="78"/>
      <c r="F92" s="114" t="s">
        <v>165</v>
      </c>
      <c r="G92" s="30"/>
      <c r="H92" s="30" t="s">
        <v>24</v>
      </c>
      <c r="I92" s="30"/>
      <c r="J92" s="30"/>
      <c r="K92" s="30" t="s">
        <v>24</v>
      </c>
      <c r="L92" s="30"/>
      <c r="M92" s="30"/>
      <c r="N92" s="30"/>
      <c r="O92" s="30" t="s">
        <v>24</v>
      </c>
    </row>
    <row r="93">
      <c r="A93" s="32"/>
      <c r="B93" s="32"/>
      <c r="C93" s="106" t="s">
        <v>166</v>
      </c>
      <c r="D93" s="78"/>
      <c r="E93" s="78"/>
      <c r="F93" s="82" t="s">
        <v>167</v>
      </c>
      <c r="G93" s="30"/>
      <c r="H93" s="30" t="s">
        <v>24</v>
      </c>
      <c r="I93" s="30"/>
      <c r="J93" s="30"/>
      <c r="K93" s="30" t="s">
        <v>24</v>
      </c>
      <c r="L93" s="30"/>
      <c r="M93" s="30"/>
      <c r="N93" s="30"/>
      <c r="O93" s="30" t="s">
        <v>24</v>
      </c>
    </row>
    <row r="94">
      <c r="A94" s="32"/>
      <c r="B94" s="37"/>
      <c r="C94" s="93" t="s">
        <v>168</v>
      </c>
      <c r="D94" s="78"/>
      <c r="E94" s="78"/>
      <c r="F94" s="79"/>
      <c r="G94" s="30"/>
      <c r="H94" s="30" t="s">
        <v>24</v>
      </c>
      <c r="I94" s="30"/>
      <c r="J94" s="30"/>
      <c r="K94" s="30" t="s">
        <v>24</v>
      </c>
      <c r="L94" s="30"/>
      <c r="M94" s="30"/>
      <c r="N94" s="30"/>
      <c r="O94" s="30" t="s">
        <v>24</v>
      </c>
    </row>
    <row r="95">
      <c r="A95" s="32"/>
      <c r="B95" s="115" t="s">
        <v>169</v>
      </c>
      <c r="C95" s="85" t="s">
        <v>141</v>
      </c>
      <c r="D95" s="78"/>
      <c r="E95" s="78"/>
      <c r="F95" s="86" t="s">
        <v>170</v>
      </c>
      <c r="G95" s="30"/>
      <c r="H95" s="30" t="s">
        <v>24</v>
      </c>
      <c r="I95" s="30"/>
      <c r="J95" s="30"/>
      <c r="K95" s="30" t="s">
        <v>24</v>
      </c>
      <c r="L95" s="30"/>
      <c r="M95" s="30"/>
      <c r="N95" s="30"/>
      <c r="O95" s="30" t="s">
        <v>24</v>
      </c>
    </row>
    <row r="96">
      <c r="A96" s="32"/>
      <c r="B96" s="32"/>
      <c r="C96" s="85" t="s">
        <v>171</v>
      </c>
      <c r="D96" s="99" t="s">
        <v>172</v>
      </c>
      <c r="E96" s="78"/>
      <c r="F96" s="82" t="s">
        <v>173</v>
      </c>
      <c r="G96" s="30"/>
      <c r="H96" s="30" t="s">
        <v>174</v>
      </c>
      <c r="I96" s="30"/>
      <c r="J96" s="30"/>
      <c r="K96" s="30" t="s">
        <v>24</v>
      </c>
      <c r="L96" s="30" t="s">
        <v>174</v>
      </c>
      <c r="M96" s="30"/>
      <c r="N96" s="30"/>
      <c r="O96" s="30" t="s">
        <v>24</v>
      </c>
    </row>
    <row r="97">
      <c r="A97" s="32"/>
      <c r="B97" s="32"/>
      <c r="C97" s="116" t="s">
        <v>175</v>
      </c>
      <c r="D97" s="78"/>
      <c r="E97" s="78"/>
      <c r="F97" s="117" t="s">
        <v>176</v>
      </c>
      <c r="G97" s="30"/>
      <c r="H97" s="30" t="s">
        <v>24</v>
      </c>
      <c r="I97" s="30"/>
      <c r="J97" s="30"/>
      <c r="K97" s="30" t="s">
        <v>24</v>
      </c>
      <c r="L97" s="30"/>
      <c r="M97" s="30"/>
      <c r="N97" s="30"/>
      <c r="O97" s="30" t="s">
        <v>24</v>
      </c>
    </row>
    <row r="98">
      <c r="A98" s="32"/>
      <c r="B98" s="37"/>
      <c r="C98" s="77" t="s">
        <v>177</v>
      </c>
      <c r="D98" s="78"/>
      <c r="E98" s="78"/>
      <c r="F98" s="79"/>
      <c r="G98" s="30"/>
      <c r="H98" s="30" t="s">
        <v>24</v>
      </c>
      <c r="I98" s="30"/>
      <c r="J98" s="30"/>
      <c r="K98" s="30" t="s">
        <v>24</v>
      </c>
      <c r="L98" s="30"/>
      <c r="M98" s="30"/>
      <c r="N98" s="30"/>
      <c r="O98" s="30" t="s">
        <v>24</v>
      </c>
    </row>
    <row r="99">
      <c r="A99" s="32"/>
      <c r="B99" s="102" t="s">
        <v>178</v>
      </c>
      <c r="C99" s="93" t="s">
        <v>179</v>
      </c>
      <c r="D99" s="78"/>
      <c r="E99" s="78"/>
      <c r="F99" s="79"/>
      <c r="G99" s="30"/>
      <c r="H99" s="30" t="s">
        <v>24</v>
      </c>
      <c r="I99" s="30"/>
      <c r="J99" s="30"/>
      <c r="K99" s="30" t="s">
        <v>24</v>
      </c>
      <c r="L99" s="30"/>
      <c r="M99" s="30"/>
      <c r="N99" s="30"/>
      <c r="O99" s="30" t="s">
        <v>24</v>
      </c>
    </row>
    <row r="100">
      <c r="A100" s="32"/>
      <c r="B100" s="32"/>
      <c r="C100" s="93" t="s">
        <v>141</v>
      </c>
      <c r="D100" s="78"/>
      <c r="E100" s="99" t="s">
        <v>180</v>
      </c>
      <c r="F100" s="79"/>
      <c r="G100" s="30"/>
      <c r="H100" s="30" t="s">
        <v>24</v>
      </c>
      <c r="I100" s="30"/>
      <c r="J100" s="30"/>
      <c r="K100" s="30" t="s">
        <v>24</v>
      </c>
      <c r="L100" s="30"/>
      <c r="M100" s="30"/>
      <c r="N100" s="30"/>
      <c r="O100" s="30" t="s">
        <v>24</v>
      </c>
    </row>
    <row r="101">
      <c r="A101" s="32"/>
      <c r="B101" s="32"/>
      <c r="C101" s="106" t="s">
        <v>181</v>
      </c>
      <c r="D101" s="78"/>
      <c r="E101" s="78"/>
      <c r="F101" s="86" t="s">
        <v>182</v>
      </c>
      <c r="G101" s="30"/>
      <c r="H101" s="30" t="s">
        <v>24</v>
      </c>
      <c r="I101" s="30"/>
      <c r="J101" s="30"/>
      <c r="K101" s="30" t="s">
        <v>24</v>
      </c>
      <c r="L101" s="30"/>
      <c r="M101" s="30"/>
      <c r="N101" s="30"/>
      <c r="O101" s="30" t="s">
        <v>24</v>
      </c>
    </row>
    <row r="102">
      <c r="A102" s="32"/>
      <c r="B102" s="32"/>
      <c r="C102" s="93" t="s">
        <v>183</v>
      </c>
      <c r="D102" s="78"/>
      <c r="E102" s="78"/>
      <c r="F102" s="79"/>
      <c r="G102" s="30"/>
      <c r="H102" s="30" t="s">
        <v>24</v>
      </c>
      <c r="I102" s="30"/>
      <c r="J102" s="30"/>
      <c r="K102" s="30" t="s">
        <v>24</v>
      </c>
      <c r="L102" s="30"/>
      <c r="M102" s="30"/>
      <c r="N102" s="30"/>
      <c r="O102" s="30" t="s">
        <v>24</v>
      </c>
    </row>
    <row r="103">
      <c r="A103" s="32"/>
      <c r="B103" s="32"/>
      <c r="C103" s="93" t="s">
        <v>184</v>
      </c>
      <c r="D103" s="78"/>
      <c r="E103" s="78"/>
      <c r="F103" s="79"/>
      <c r="G103" s="30"/>
      <c r="H103" s="30" t="s">
        <v>24</v>
      </c>
      <c r="I103" s="30"/>
      <c r="J103" s="30"/>
      <c r="K103" s="30" t="s">
        <v>24</v>
      </c>
      <c r="L103" s="30"/>
      <c r="M103" s="30"/>
      <c r="N103" s="30"/>
      <c r="O103" s="30" t="s">
        <v>24</v>
      </c>
    </row>
    <row r="104">
      <c r="A104" s="32"/>
      <c r="B104" s="32"/>
      <c r="C104" s="106" t="s">
        <v>185</v>
      </c>
      <c r="D104" s="78"/>
      <c r="E104" s="78"/>
      <c r="F104" s="86" t="s">
        <v>186</v>
      </c>
      <c r="G104" s="30"/>
      <c r="H104" s="30" t="s">
        <v>24</v>
      </c>
      <c r="I104" s="30"/>
      <c r="J104" s="30"/>
      <c r="K104" s="30" t="s">
        <v>24</v>
      </c>
      <c r="L104" s="30"/>
      <c r="M104" s="30"/>
      <c r="N104" s="30"/>
      <c r="O104" s="30" t="s">
        <v>24</v>
      </c>
    </row>
    <row r="105">
      <c r="A105" s="32"/>
      <c r="B105" s="32"/>
      <c r="C105" s="87" t="s">
        <v>187</v>
      </c>
      <c r="D105" s="78"/>
      <c r="E105" s="78"/>
      <c r="F105" s="79"/>
      <c r="G105" s="30"/>
      <c r="H105" s="30" t="s">
        <v>24</v>
      </c>
      <c r="I105" s="30"/>
      <c r="J105" s="30"/>
      <c r="K105" s="30" t="s">
        <v>24</v>
      </c>
      <c r="L105" s="30"/>
      <c r="M105" s="30"/>
      <c r="N105" s="30"/>
      <c r="O105" s="30" t="s">
        <v>24</v>
      </c>
    </row>
    <row r="106">
      <c r="A106" s="32"/>
      <c r="B106" s="32"/>
      <c r="C106" s="87" t="s">
        <v>188</v>
      </c>
      <c r="D106" s="78"/>
      <c r="E106" s="78"/>
      <c r="F106" s="82" t="s">
        <v>189</v>
      </c>
      <c r="G106" s="30"/>
      <c r="H106" s="30" t="s">
        <v>24</v>
      </c>
      <c r="I106" s="30"/>
      <c r="J106" s="30"/>
      <c r="K106" s="30" t="s">
        <v>24</v>
      </c>
      <c r="L106" s="30"/>
      <c r="M106" s="30"/>
      <c r="N106" s="30"/>
      <c r="O106" s="30" t="s">
        <v>24</v>
      </c>
    </row>
    <row r="107">
      <c r="A107" s="32"/>
      <c r="B107" s="32"/>
      <c r="C107" s="77" t="s">
        <v>190</v>
      </c>
      <c r="D107" s="78"/>
      <c r="E107" s="78"/>
      <c r="F107" s="79"/>
      <c r="G107" s="29"/>
      <c r="H107" s="30" t="s">
        <v>24</v>
      </c>
      <c r="I107" s="30"/>
      <c r="J107" s="29"/>
      <c r="K107" s="30" t="s">
        <v>24</v>
      </c>
      <c r="L107" s="30"/>
      <c r="M107" s="29"/>
      <c r="N107" s="30"/>
      <c r="O107" s="30" t="s">
        <v>24</v>
      </c>
    </row>
    <row r="108">
      <c r="A108" s="32"/>
      <c r="B108" s="32"/>
      <c r="C108" s="106" t="s">
        <v>191</v>
      </c>
      <c r="D108" s="78"/>
      <c r="E108" s="78"/>
      <c r="F108" s="86" t="s">
        <v>192</v>
      </c>
      <c r="G108" s="30"/>
      <c r="H108" s="30" t="s">
        <v>24</v>
      </c>
      <c r="I108" s="30"/>
      <c r="J108" s="30"/>
      <c r="K108" s="30" t="s">
        <v>24</v>
      </c>
      <c r="L108" s="30"/>
      <c r="M108" s="30"/>
      <c r="N108" s="30"/>
      <c r="O108" s="30" t="s">
        <v>24</v>
      </c>
    </row>
    <row r="109">
      <c r="A109" s="32"/>
      <c r="B109" s="32"/>
      <c r="C109" s="106" t="s">
        <v>193</v>
      </c>
      <c r="D109" s="78"/>
      <c r="E109" s="78"/>
      <c r="F109" s="79"/>
      <c r="G109" s="30"/>
      <c r="H109" s="30" t="s">
        <v>24</v>
      </c>
      <c r="I109" s="30"/>
      <c r="J109" s="30"/>
      <c r="K109" s="30" t="s">
        <v>24</v>
      </c>
      <c r="L109" s="30"/>
      <c r="M109" s="30"/>
      <c r="N109" s="30"/>
      <c r="O109" s="30" t="s">
        <v>24</v>
      </c>
    </row>
    <row r="110">
      <c r="A110" s="32"/>
      <c r="B110" s="32"/>
      <c r="C110" s="93" t="s">
        <v>194</v>
      </c>
      <c r="D110" s="78"/>
      <c r="E110" s="78"/>
      <c r="F110" s="79"/>
      <c r="G110" s="30"/>
      <c r="H110" s="30" t="s">
        <v>24</v>
      </c>
      <c r="I110" s="30"/>
      <c r="J110" s="30"/>
      <c r="K110" s="30" t="s">
        <v>24</v>
      </c>
      <c r="L110" s="30"/>
      <c r="M110" s="30"/>
      <c r="N110" s="30"/>
      <c r="O110" s="30" t="s">
        <v>24</v>
      </c>
    </row>
    <row r="111">
      <c r="A111" s="32"/>
      <c r="B111" s="32"/>
      <c r="C111" s="103" t="s">
        <v>195</v>
      </c>
      <c r="D111" s="78"/>
      <c r="E111" s="78"/>
      <c r="F111" s="86" t="s">
        <v>196</v>
      </c>
      <c r="G111" s="30"/>
      <c r="H111" s="30" t="s">
        <v>24</v>
      </c>
      <c r="I111" s="30"/>
      <c r="J111" s="30"/>
      <c r="K111" s="30" t="s">
        <v>24</v>
      </c>
      <c r="L111" s="30"/>
      <c r="M111" s="30"/>
      <c r="N111" s="30"/>
      <c r="O111" s="30" t="s">
        <v>24</v>
      </c>
    </row>
    <row r="112">
      <c r="A112" s="32"/>
      <c r="B112" s="32"/>
      <c r="C112" s="93" t="s">
        <v>197</v>
      </c>
      <c r="D112" s="78"/>
      <c r="E112" s="78"/>
      <c r="F112" s="86" t="s">
        <v>196</v>
      </c>
      <c r="G112" s="30"/>
      <c r="H112" s="30"/>
      <c r="I112" s="30"/>
      <c r="J112" s="30"/>
      <c r="K112" s="30"/>
      <c r="L112" s="30"/>
      <c r="M112" s="30"/>
      <c r="N112" s="30"/>
      <c r="O112" s="30" t="s">
        <v>24</v>
      </c>
    </row>
    <row r="113">
      <c r="A113" s="32"/>
      <c r="B113" s="32"/>
      <c r="C113" s="93" t="s">
        <v>198</v>
      </c>
      <c r="D113" s="78"/>
      <c r="E113" s="78"/>
      <c r="F113" s="86" t="s">
        <v>196</v>
      </c>
      <c r="G113" s="30"/>
      <c r="H113" s="30" t="s">
        <v>24</v>
      </c>
      <c r="I113" s="30"/>
      <c r="J113" s="30"/>
      <c r="K113" s="30"/>
      <c r="L113" s="30"/>
      <c r="M113" s="30"/>
      <c r="N113" s="30"/>
      <c r="O113" s="30"/>
    </row>
    <row r="114">
      <c r="A114" s="32"/>
      <c r="B114" s="32"/>
      <c r="C114" s="118" t="s">
        <v>199</v>
      </c>
      <c r="D114" s="78"/>
      <c r="E114" s="78"/>
      <c r="F114" s="82" t="s">
        <v>200</v>
      </c>
      <c r="G114" s="29"/>
      <c r="H114" s="30" t="s">
        <v>24</v>
      </c>
      <c r="I114" s="29"/>
      <c r="J114" s="29"/>
      <c r="K114" s="30" t="s">
        <v>24</v>
      </c>
      <c r="L114" s="29"/>
      <c r="M114" s="29"/>
      <c r="N114" s="30"/>
      <c r="O114" s="29"/>
    </row>
    <row r="115">
      <c r="A115" s="32"/>
      <c r="B115" s="32"/>
      <c r="C115" s="106" t="s">
        <v>201</v>
      </c>
      <c r="D115" s="78"/>
      <c r="E115" s="78"/>
      <c r="F115" s="86" t="s">
        <v>202</v>
      </c>
      <c r="G115" s="30"/>
      <c r="H115" s="30" t="s">
        <v>24</v>
      </c>
      <c r="I115" s="29"/>
      <c r="J115" s="30"/>
      <c r="K115" s="30" t="s">
        <v>24</v>
      </c>
      <c r="L115" s="29"/>
      <c r="M115" s="30"/>
      <c r="N115" s="30"/>
      <c r="O115" s="29"/>
    </row>
    <row r="116">
      <c r="A116" s="32"/>
      <c r="B116" s="32"/>
      <c r="C116" s="119" t="s">
        <v>203</v>
      </c>
      <c r="D116" s="78"/>
      <c r="E116" s="78"/>
      <c r="F116" s="86" t="s">
        <v>124</v>
      </c>
      <c r="G116" s="30"/>
      <c r="H116" s="30" t="s">
        <v>24</v>
      </c>
      <c r="I116" s="29"/>
      <c r="J116" s="30"/>
      <c r="K116" s="30" t="s">
        <v>24</v>
      </c>
      <c r="L116" s="29"/>
      <c r="M116" s="30"/>
      <c r="N116" s="30"/>
      <c r="O116" s="29"/>
    </row>
    <row r="117">
      <c r="A117" s="32"/>
      <c r="B117" s="32"/>
      <c r="C117" s="120" t="s">
        <v>204</v>
      </c>
      <c r="D117" s="78"/>
      <c r="E117" s="78"/>
      <c r="F117" s="86" t="s">
        <v>124</v>
      </c>
      <c r="G117" s="30"/>
      <c r="H117" s="30" t="s">
        <v>24</v>
      </c>
      <c r="I117" s="29"/>
      <c r="J117" s="30"/>
      <c r="K117" s="30" t="s">
        <v>24</v>
      </c>
      <c r="L117" s="29"/>
      <c r="M117" s="30"/>
      <c r="N117" s="30"/>
      <c r="O117" s="29"/>
    </row>
    <row r="118">
      <c r="A118" s="32"/>
      <c r="B118" s="37"/>
      <c r="C118" s="121" t="s">
        <v>205</v>
      </c>
      <c r="D118" s="122"/>
      <c r="E118" s="99" t="s">
        <v>206</v>
      </c>
      <c r="F118" s="86" t="s">
        <v>207</v>
      </c>
      <c r="G118" s="30"/>
      <c r="H118" s="30" t="s">
        <v>24</v>
      </c>
      <c r="I118" s="29"/>
      <c r="J118" s="30"/>
      <c r="K118" s="30" t="s">
        <v>24</v>
      </c>
      <c r="L118" s="29"/>
      <c r="M118" s="30"/>
      <c r="N118" s="30"/>
      <c r="O118" s="29"/>
    </row>
    <row r="119">
      <c r="A119" s="32"/>
      <c r="B119" s="102" t="s">
        <v>208</v>
      </c>
      <c r="C119" s="106" t="s">
        <v>209</v>
      </c>
      <c r="D119" s="78"/>
      <c r="E119" s="78"/>
      <c r="F119" s="79"/>
      <c r="G119" s="30"/>
      <c r="H119" s="30" t="s">
        <v>24</v>
      </c>
      <c r="I119" s="29"/>
      <c r="J119" s="30"/>
      <c r="K119" s="30" t="s">
        <v>24</v>
      </c>
      <c r="L119" s="29"/>
      <c r="M119" s="30"/>
      <c r="N119" s="30"/>
      <c r="O119" s="29"/>
    </row>
    <row r="120">
      <c r="A120" s="32"/>
      <c r="B120" s="32"/>
      <c r="C120" s="123" t="s">
        <v>210</v>
      </c>
      <c r="D120" s="78"/>
      <c r="E120" s="78"/>
      <c r="F120" s="86" t="s">
        <v>211</v>
      </c>
      <c r="G120" s="30"/>
      <c r="H120" s="30" t="s">
        <v>24</v>
      </c>
      <c r="I120" s="29"/>
      <c r="J120" s="30"/>
      <c r="K120" s="30" t="s">
        <v>24</v>
      </c>
      <c r="L120" s="29"/>
      <c r="M120" s="30"/>
      <c r="N120" s="30"/>
      <c r="O120" s="29"/>
    </row>
    <row r="121">
      <c r="A121" s="32"/>
      <c r="B121" s="32"/>
      <c r="C121" s="124" t="s">
        <v>212</v>
      </c>
      <c r="D121" s="78"/>
      <c r="E121" s="78"/>
      <c r="F121" s="79"/>
      <c r="G121" s="30"/>
      <c r="H121" s="30" t="s">
        <v>24</v>
      </c>
      <c r="I121" s="29"/>
      <c r="J121" s="30"/>
      <c r="K121" s="30" t="s">
        <v>24</v>
      </c>
      <c r="L121" s="29"/>
      <c r="M121" s="30"/>
      <c r="N121" s="30"/>
      <c r="O121" s="29"/>
    </row>
    <row r="122">
      <c r="A122" s="32"/>
      <c r="B122" s="32"/>
      <c r="C122" s="125" t="s">
        <v>213</v>
      </c>
      <c r="D122" s="78"/>
      <c r="E122" s="78"/>
      <c r="F122" s="79"/>
      <c r="G122" s="30"/>
      <c r="H122" s="30" t="s">
        <v>24</v>
      </c>
      <c r="I122" s="29"/>
      <c r="J122" s="30"/>
      <c r="K122" s="30" t="s">
        <v>24</v>
      </c>
      <c r="L122" s="29"/>
      <c r="M122" s="30"/>
      <c r="N122" s="30"/>
      <c r="O122" s="29"/>
    </row>
    <row r="123">
      <c r="A123" s="32"/>
      <c r="B123" s="32"/>
      <c r="C123" s="124" t="s">
        <v>214</v>
      </c>
      <c r="D123" s="78"/>
      <c r="E123" s="78"/>
      <c r="F123" s="79"/>
      <c r="G123" s="30"/>
      <c r="H123" s="30" t="s">
        <v>24</v>
      </c>
      <c r="I123" s="29"/>
      <c r="J123" s="30"/>
      <c r="K123" s="30" t="s">
        <v>24</v>
      </c>
      <c r="L123" s="29"/>
      <c r="M123" s="30"/>
      <c r="N123" s="30"/>
      <c r="O123" s="29"/>
    </row>
    <row r="124">
      <c r="A124" s="32"/>
      <c r="B124" s="37"/>
      <c r="C124" s="126" t="s">
        <v>215</v>
      </c>
      <c r="D124" s="78"/>
      <c r="E124" s="78"/>
      <c r="F124" s="127" t="s">
        <v>216</v>
      </c>
      <c r="G124" s="30"/>
      <c r="H124" s="30"/>
      <c r="I124" s="29"/>
      <c r="J124" s="30"/>
      <c r="K124" s="30"/>
      <c r="L124" s="29"/>
      <c r="M124" s="30"/>
      <c r="N124" s="30"/>
      <c r="O124" s="29"/>
    </row>
    <row r="125">
      <c r="A125" s="32"/>
      <c r="B125" s="115" t="s">
        <v>217</v>
      </c>
      <c r="C125" s="124" t="s">
        <v>218</v>
      </c>
      <c r="D125" s="78"/>
      <c r="E125" s="128" t="s">
        <v>219</v>
      </c>
      <c r="F125" s="79"/>
      <c r="G125" s="30"/>
      <c r="H125" s="30" t="s">
        <v>24</v>
      </c>
      <c r="I125" s="30"/>
      <c r="J125" s="30"/>
      <c r="K125" s="30" t="s">
        <v>24</v>
      </c>
      <c r="L125" s="30"/>
      <c r="M125" s="30"/>
      <c r="N125" s="30"/>
      <c r="O125" s="30"/>
    </row>
    <row r="126">
      <c r="A126" s="32"/>
      <c r="B126" s="32"/>
      <c r="C126" s="124" t="s">
        <v>220</v>
      </c>
      <c r="D126" s="78"/>
      <c r="E126" s="78"/>
      <c r="F126" s="79"/>
      <c r="G126" s="30"/>
      <c r="H126" s="30" t="s">
        <v>24</v>
      </c>
      <c r="I126" s="30"/>
      <c r="J126" s="30"/>
      <c r="K126" s="30" t="s">
        <v>24</v>
      </c>
      <c r="L126" s="30"/>
      <c r="M126" s="30"/>
      <c r="N126" s="30"/>
      <c r="O126" s="30"/>
    </row>
    <row r="127">
      <c r="A127" s="32"/>
      <c r="B127" s="32"/>
      <c r="C127" s="129" t="s">
        <v>221</v>
      </c>
      <c r="D127" s="78"/>
      <c r="E127" s="78"/>
      <c r="F127" s="86" t="s">
        <v>222</v>
      </c>
      <c r="G127" s="30"/>
      <c r="H127" s="30" t="s">
        <v>24</v>
      </c>
      <c r="I127" s="30"/>
      <c r="J127" s="30"/>
      <c r="K127" s="30" t="s">
        <v>24</v>
      </c>
      <c r="L127" s="30"/>
      <c r="M127" s="30"/>
      <c r="N127" s="30"/>
      <c r="O127" s="30"/>
    </row>
    <row r="128">
      <c r="A128" s="32"/>
      <c r="B128" s="37"/>
      <c r="C128" s="124" t="s">
        <v>223</v>
      </c>
      <c r="D128" s="78"/>
      <c r="E128" s="78"/>
      <c r="F128" s="86" t="s">
        <v>224</v>
      </c>
      <c r="G128" s="30"/>
      <c r="H128" s="30" t="s">
        <v>24</v>
      </c>
      <c r="I128" s="30"/>
      <c r="J128" s="30"/>
      <c r="K128" s="30"/>
      <c r="L128" s="30"/>
      <c r="M128" s="30"/>
      <c r="N128" s="30"/>
      <c r="O128" s="30"/>
    </row>
    <row r="129">
      <c r="A129" s="32"/>
      <c r="B129" s="115" t="s">
        <v>225</v>
      </c>
      <c r="C129" s="130" t="s">
        <v>226</v>
      </c>
      <c r="D129" s="78"/>
      <c r="E129" s="78"/>
      <c r="F129" s="131" t="s">
        <v>227</v>
      </c>
      <c r="G129" s="30"/>
      <c r="H129" s="30"/>
      <c r="I129" s="30"/>
      <c r="J129" s="30"/>
      <c r="K129" s="30"/>
      <c r="L129" s="30"/>
      <c r="M129" s="30"/>
      <c r="N129" s="30"/>
      <c r="O129" s="30"/>
    </row>
    <row r="130">
      <c r="A130" s="32"/>
      <c r="B130" s="32"/>
      <c r="C130" s="132" t="s">
        <v>228</v>
      </c>
      <c r="D130" s="78"/>
      <c r="E130" s="78"/>
      <c r="F130" s="133"/>
      <c r="G130" s="30"/>
      <c r="H130" s="30"/>
      <c r="I130" s="30"/>
      <c r="J130" s="30"/>
      <c r="K130" s="30"/>
      <c r="L130" s="30"/>
      <c r="M130" s="30"/>
      <c r="N130" s="30"/>
      <c r="O130" s="30"/>
    </row>
    <row r="131">
      <c r="A131" s="32"/>
      <c r="B131" s="32"/>
      <c r="C131" s="132" t="s">
        <v>229</v>
      </c>
      <c r="D131" s="78"/>
      <c r="E131" s="78"/>
      <c r="F131" s="134" t="s">
        <v>230</v>
      </c>
      <c r="G131" s="30"/>
      <c r="H131" s="30"/>
      <c r="I131" s="30"/>
      <c r="J131" s="30"/>
      <c r="K131" s="30"/>
      <c r="L131" s="30"/>
      <c r="M131" s="30"/>
      <c r="N131" s="30"/>
      <c r="O131" s="30"/>
    </row>
    <row r="132">
      <c r="A132" s="32"/>
      <c r="B132" s="32"/>
      <c r="C132" s="132" t="s">
        <v>231</v>
      </c>
      <c r="D132" s="78"/>
      <c r="E132" s="78"/>
      <c r="F132" s="133"/>
      <c r="G132" s="30"/>
      <c r="H132" s="30"/>
      <c r="I132" s="30"/>
      <c r="J132" s="30"/>
      <c r="K132" s="30"/>
      <c r="L132" s="30"/>
      <c r="M132" s="30"/>
      <c r="N132" s="30"/>
      <c r="O132" s="30"/>
    </row>
    <row r="133">
      <c r="A133" s="32"/>
      <c r="B133" s="32"/>
      <c r="C133" s="132" t="s">
        <v>232</v>
      </c>
      <c r="D133" s="78"/>
      <c r="E133" s="78"/>
      <c r="F133" s="135"/>
      <c r="G133" s="30"/>
      <c r="H133" s="30"/>
      <c r="I133" s="30"/>
      <c r="J133" s="30"/>
      <c r="K133" s="30"/>
      <c r="L133" s="30"/>
      <c r="M133" s="30"/>
      <c r="N133" s="30"/>
      <c r="O133" s="30"/>
    </row>
    <row r="134">
      <c r="A134" s="32"/>
      <c r="B134" s="32"/>
      <c r="C134" s="132" t="s">
        <v>233</v>
      </c>
      <c r="D134" s="78"/>
      <c r="E134" s="78"/>
      <c r="F134" s="136" t="s">
        <v>234</v>
      </c>
      <c r="G134" s="30"/>
      <c r="H134" s="30"/>
      <c r="I134" s="30"/>
      <c r="J134" s="30"/>
      <c r="K134" s="30"/>
      <c r="L134" s="30"/>
      <c r="M134" s="30"/>
      <c r="N134" s="30"/>
      <c r="O134" s="30"/>
    </row>
    <row r="135">
      <c r="A135" s="32"/>
      <c r="B135" s="32"/>
      <c r="C135" s="132" t="s">
        <v>235</v>
      </c>
      <c r="D135" s="78"/>
      <c r="E135" s="78"/>
      <c r="F135" s="136" t="s">
        <v>236</v>
      </c>
      <c r="G135" s="30"/>
      <c r="H135" s="30"/>
      <c r="I135" s="30"/>
      <c r="J135" s="30"/>
      <c r="K135" s="30"/>
      <c r="L135" s="30"/>
      <c r="M135" s="30"/>
      <c r="N135" s="30"/>
      <c r="O135" s="30"/>
    </row>
    <row r="136">
      <c r="A136" s="32"/>
      <c r="B136" s="32"/>
      <c r="C136" s="132" t="s">
        <v>237</v>
      </c>
      <c r="D136" s="78"/>
      <c r="E136" s="78"/>
      <c r="F136" s="133"/>
      <c r="G136" s="30"/>
      <c r="H136" s="30"/>
      <c r="I136" s="30"/>
      <c r="J136" s="30"/>
      <c r="K136" s="30"/>
      <c r="L136" s="30"/>
      <c r="M136" s="30"/>
      <c r="N136" s="30"/>
      <c r="O136" s="30"/>
    </row>
    <row r="137">
      <c r="A137" s="32"/>
      <c r="B137" s="32"/>
      <c r="C137" s="132" t="s">
        <v>238</v>
      </c>
      <c r="D137" s="78"/>
      <c r="E137" s="78"/>
      <c r="F137" s="89"/>
      <c r="G137" s="30"/>
      <c r="H137" s="30"/>
      <c r="I137" s="30"/>
      <c r="J137" s="30"/>
      <c r="K137" s="30"/>
      <c r="L137" s="30"/>
      <c r="M137" s="30"/>
      <c r="N137" s="30"/>
      <c r="O137" s="30"/>
    </row>
    <row r="138">
      <c r="A138" s="32"/>
      <c r="B138" s="32"/>
      <c r="C138" s="132" t="s">
        <v>239</v>
      </c>
      <c r="D138" s="78"/>
      <c r="E138" s="78"/>
      <c r="F138" s="89"/>
      <c r="G138" s="30"/>
      <c r="H138" s="30"/>
      <c r="I138" s="30"/>
      <c r="J138" s="30"/>
      <c r="K138" s="30"/>
      <c r="L138" s="30"/>
      <c r="M138" s="30"/>
      <c r="N138" s="30"/>
      <c r="O138" s="30"/>
    </row>
    <row r="139">
      <c r="A139" s="32"/>
      <c r="B139" s="32"/>
      <c r="C139" s="132" t="s">
        <v>240</v>
      </c>
      <c r="D139" s="78"/>
      <c r="E139" s="78"/>
      <c r="F139" s="89"/>
      <c r="G139" s="30"/>
      <c r="H139" s="30"/>
      <c r="I139" s="30"/>
      <c r="J139" s="30"/>
      <c r="K139" s="30"/>
      <c r="L139" s="30"/>
      <c r="M139" s="30"/>
      <c r="N139" s="30"/>
      <c r="O139" s="30"/>
    </row>
    <row r="140">
      <c r="A140" s="32"/>
      <c r="B140" s="32"/>
      <c r="C140" s="132" t="s">
        <v>241</v>
      </c>
      <c r="D140" s="78"/>
      <c r="E140" s="78"/>
      <c r="F140" s="89"/>
      <c r="G140" s="30"/>
      <c r="H140" s="30"/>
      <c r="I140" s="30"/>
      <c r="J140" s="30"/>
      <c r="K140" s="30"/>
      <c r="L140" s="30"/>
      <c r="M140" s="30"/>
      <c r="N140" s="30"/>
      <c r="O140" s="30"/>
    </row>
    <row r="141">
      <c r="A141" s="32"/>
      <c r="B141" s="32"/>
      <c r="C141" s="132" t="s">
        <v>242</v>
      </c>
      <c r="D141" s="78"/>
      <c r="E141" s="78"/>
      <c r="F141" s="89"/>
      <c r="G141" s="30"/>
      <c r="H141" s="30"/>
      <c r="I141" s="30"/>
      <c r="J141" s="30"/>
      <c r="K141" s="30"/>
      <c r="L141" s="30"/>
      <c r="M141" s="30"/>
      <c r="N141" s="30"/>
      <c r="O141" s="30"/>
    </row>
    <row r="142">
      <c r="A142" s="32"/>
      <c r="B142" s="37"/>
      <c r="C142" s="132" t="s">
        <v>243</v>
      </c>
      <c r="D142" s="78"/>
      <c r="E142" s="78"/>
      <c r="F142" s="89"/>
      <c r="G142" s="30"/>
      <c r="H142" s="30"/>
      <c r="I142" s="30"/>
      <c r="J142" s="30"/>
      <c r="K142" s="30"/>
      <c r="L142" s="30"/>
      <c r="M142" s="30"/>
      <c r="N142" s="30"/>
      <c r="O142" s="30"/>
    </row>
    <row r="143">
      <c r="A143" s="32"/>
      <c r="B143" s="102" t="s">
        <v>244</v>
      </c>
      <c r="C143" s="106" t="s">
        <v>245</v>
      </c>
      <c r="D143" s="78"/>
      <c r="E143" s="137"/>
      <c r="F143" s="138" t="s">
        <v>246</v>
      </c>
      <c r="G143" s="30"/>
      <c r="H143" s="30" t="s">
        <v>24</v>
      </c>
      <c r="I143" s="30"/>
      <c r="J143" s="30"/>
      <c r="K143" s="30" t="s">
        <v>24</v>
      </c>
      <c r="L143" s="30"/>
      <c r="M143" s="30"/>
      <c r="N143" s="30"/>
      <c r="O143" s="30"/>
    </row>
    <row r="144">
      <c r="A144" s="32"/>
      <c r="B144" s="32"/>
      <c r="C144" s="123" t="s">
        <v>247</v>
      </c>
      <c r="D144" s="78"/>
      <c r="E144" s="99" t="s">
        <v>248</v>
      </c>
      <c r="F144" s="86" t="s">
        <v>207</v>
      </c>
      <c r="G144" s="30"/>
      <c r="H144" s="30" t="s">
        <v>24</v>
      </c>
      <c r="I144" s="30"/>
      <c r="J144" s="30"/>
      <c r="K144" s="30" t="s">
        <v>24</v>
      </c>
      <c r="L144" s="30"/>
      <c r="M144" s="30"/>
      <c r="N144" s="30"/>
      <c r="O144" s="30" t="s">
        <v>24</v>
      </c>
    </row>
    <row r="145">
      <c r="A145" s="32"/>
      <c r="B145" s="32"/>
      <c r="C145" s="123" t="s">
        <v>249</v>
      </c>
      <c r="D145" s="78"/>
      <c r="E145" s="78"/>
      <c r="F145" s="86" t="s">
        <v>250</v>
      </c>
      <c r="G145" s="30"/>
      <c r="H145" s="30" t="s">
        <v>24</v>
      </c>
      <c r="I145" s="30"/>
      <c r="J145" s="30"/>
      <c r="K145" s="30" t="s">
        <v>24</v>
      </c>
      <c r="L145" s="30"/>
      <c r="M145" s="30"/>
      <c r="N145" s="30"/>
      <c r="O145" s="30" t="s">
        <v>24</v>
      </c>
    </row>
    <row r="146">
      <c r="A146" s="32"/>
      <c r="B146" s="32"/>
      <c r="C146" s="103" t="s">
        <v>251</v>
      </c>
      <c r="D146" s="78"/>
      <c r="E146" s="78"/>
      <c r="F146" s="86" t="s">
        <v>252</v>
      </c>
      <c r="G146" s="30"/>
      <c r="H146" s="30" t="s">
        <v>24</v>
      </c>
      <c r="I146" s="30"/>
      <c r="J146" s="30"/>
      <c r="K146" s="30" t="s">
        <v>24</v>
      </c>
      <c r="L146" s="30"/>
      <c r="M146" s="30"/>
      <c r="N146" s="30"/>
      <c r="O146" s="30" t="s">
        <v>24</v>
      </c>
    </row>
    <row r="147">
      <c r="A147" s="32"/>
      <c r="B147" s="32"/>
      <c r="C147" s="106" t="s">
        <v>253</v>
      </c>
      <c r="D147" s="78"/>
      <c r="E147" s="78"/>
      <c r="F147" s="86" t="s">
        <v>254</v>
      </c>
      <c r="G147" s="30"/>
      <c r="H147" s="30" t="s">
        <v>24</v>
      </c>
      <c r="I147" s="30"/>
      <c r="J147" s="30"/>
      <c r="K147" s="30" t="s">
        <v>24</v>
      </c>
      <c r="L147" s="30"/>
      <c r="M147" s="30"/>
      <c r="N147" s="30"/>
      <c r="O147" s="30" t="s">
        <v>24</v>
      </c>
    </row>
    <row r="148">
      <c r="A148" s="32"/>
      <c r="B148" s="32"/>
      <c r="C148" s="106" t="s">
        <v>255</v>
      </c>
      <c r="D148" s="78"/>
      <c r="E148" s="78"/>
      <c r="F148" s="86" t="s">
        <v>256</v>
      </c>
      <c r="G148" s="30"/>
      <c r="H148" s="30" t="s">
        <v>24</v>
      </c>
      <c r="I148" s="30"/>
      <c r="J148" s="30"/>
      <c r="K148" s="30" t="s">
        <v>24</v>
      </c>
      <c r="L148" s="30"/>
      <c r="M148" s="30"/>
      <c r="N148" s="30"/>
      <c r="O148" s="30" t="s">
        <v>24</v>
      </c>
    </row>
    <row r="149">
      <c r="A149" s="32"/>
      <c r="B149" s="32"/>
      <c r="C149" s="93" t="s">
        <v>257</v>
      </c>
      <c r="D149" s="78"/>
      <c r="E149" s="78"/>
      <c r="F149" s="79"/>
      <c r="G149" s="30"/>
      <c r="H149" s="30" t="s">
        <v>24</v>
      </c>
      <c r="I149" s="30"/>
      <c r="J149" s="30"/>
      <c r="K149" s="30" t="s">
        <v>24</v>
      </c>
      <c r="L149" s="30"/>
      <c r="M149" s="30"/>
      <c r="N149" s="30"/>
      <c r="O149" s="30" t="s">
        <v>24</v>
      </c>
    </row>
    <row r="150">
      <c r="A150" s="32"/>
      <c r="B150" s="32"/>
      <c r="C150" s="93" t="s">
        <v>258</v>
      </c>
      <c r="D150" s="78"/>
      <c r="E150" s="78"/>
      <c r="F150" s="86" t="s">
        <v>259</v>
      </c>
      <c r="G150" s="30"/>
      <c r="H150" s="30" t="s">
        <v>24</v>
      </c>
      <c r="I150" s="30"/>
      <c r="J150" s="30"/>
      <c r="K150" s="30" t="s">
        <v>24</v>
      </c>
      <c r="L150" s="30"/>
      <c r="M150" s="30"/>
      <c r="N150" s="30"/>
      <c r="O150" s="30" t="s">
        <v>24</v>
      </c>
    </row>
    <row r="151">
      <c r="A151" s="32"/>
      <c r="B151" s="32"/>
      <c r="C151" s="139" t="s">
        <v>260</v>
      </c>
      <c r="D151" s="78"/>
      <c r="E151" s="78"/>
      <c r="F151" s="79"/>
      <c r="G151" s="30"/>
      <c r="H151" s="30" t="s">
        <v>24</v>
      </c>
      <c r="I151" s="30"/>
      <c r="J151" s="30"/>
      <c r="K151" s="30" t="s">
        <v>24</v>
      </c>
      <c r="L151" s="30"/>
      <c r="M151" s="30"/>
      <c r="N151" s="30"/>
      <c r="O151" s="30" t="s">
        <v>24</v>
      </c>
    </row>
    <row r="152">
      <c r="A152" s="32"/>
      <c r="B152" s="32"/>
      <c r="C152" s="139" t="s">
        <v>261</v>
      </c>
      <c r="D152" s="78"/>
      <c r="E152" s="78"/>
      <c r="F152" s="140" t="s">
        <v>262</v>
      </c>
      <c r="G152" s="30"/>
      <c r="H152" s="30" t="s">
        <v>24</v>
      </c>
      <c r="I152" s="30"/>
      <c r="J152" s="30"/>
      <c r="K152" s="30" t="s">
        <v>24</v>
      </c>
      <c r="L152" s="30"/>
      <c r="M152" s="30"/>
      <c r="N152" s="30"/>
      <c r="O152" s="30" t="s">
        <v>24</v>
      </c>
    </row>
    <row r="153">
      <c r="A153" s="32"/>
      <c r="B153" s="37"/>
      <c r="C153" s="139" t="s">
        <v>263</v>
      </c>
      <c r="D153" s="78"/>
      <c r="E153" s="78"/>
      <c r="F153" s="79"/>
      <c r="G153" s="30"/>
      <c r="H153" s="30" t="s">
        <v>24</v>
      </c>
      <c r="I153" s="30"/>
      <c r="J153" s="30"/>
      <c r="K153" s="30" t="s">
        <v>24</v>
      </c>
      <c r="L153" s="30"/>
      <c r="M153" s="30"/>
      <c r="N153" s="30"/>
      <c r="O153" s="30" t="s">
        <v>24</v>
      </c>
    </row>
    <row r="154">
      <c r="A154" s="32"/>
      <c r="B154" s="141" t="s">
        <v>264</v>
      </c>
      <c r="C154" s="142" t="s">
        <v>265</v>
      </c>
      <c r="D154" s="122"/>
      <c r="E154" s="99" t="s">
        <v>266</v>
      </c>
      <c r="F154" s="140"/>
      <c r="G154" s="30"/>
      <c r="H154" s="30" t="s">
        <v>24</v>
      </c>
      <c r="I154" s="30"/>
      <c r="J154" s="30"/>
      <c r="K154" s="30" t="s">
        <v>24</v>
      </c>
      <c r="L154" s="30"/>
      <c r="M154" s="30"/>
      <c r="N154" s="30"/>
      <c r="O154" s="30" t="s">
        <v>24</v>
      </c>
    </row>
    <row r="155">
      <c r="A155" s="32"/>
      <c r="B155" s="32"/>
      <c r="C155" s="143" t="s">
        <v>267</v>
      </c>
      <c r="D155" s="128" t="s">
        <v>268</v>
      </c>
      <c r="E155" s="122"/>
      <c r="F155" s="144"/>
      <c r="G155" s="30"/>
      <c r="H155" s="30" t="s">
        <v>269</v>
      </c>
      <c r="I155" s="30"/>
      <c r="J155" s="30"/>
      <c r="K155" s="30" t="s">
        <v>24</v>
      </c>
      <c r="L155" s="30" t="s">
        <v>269</v>
      </c>
      <c r="M155" s="30"/>
      <c r="N155" s="30"/>
      <c r="O155" s="30" t="s">
        <v>269</v>
      </c>
    </row>
    <row r="156">
      <c r="A156" s="32"/>
      <c r="B156" s="32"/>
      <c r="C156" s="143" t="s">
        <v>270</v>
      </c>
      <c r="D156" s="78"/>
      <c r="E156" s="145" t="s">
        <v>271</v>
      </c>
      <c r="F156" s="144"/>
      <c r="G156" s="30"/>
      <c r="H156" s="30"/>
      <c r="I156" s="30"/>
      <c r="J156" s="30"/>
      <c r="K156" s="30"/>
      <c r="L156" s="30"/>
      <c r="M156" s="30"/>
      <c r="N156" s="30"/>
      <c r="O156" s="30"/>
    </row>
    <row r="157">
      <c r="A157" s="32"/>
      <c r="B157" s="32"/>
      <c r="C157" s="146" t="s">
        <v>272</v>
      </c>
      <c r="D157" s="78"/>
      <c r="E157" s="122"/>
      <c r="F157" s="147" t="s">
        <v>273</v>
      </c>
      <c r="G157" s="30"/>
      <c r="H157" s="30" t="s">
        <v>24</v>
      </c>
      <c r="I157" s="30"/>
      <c r="J157" s="30"/>
      <c r="K157" s="30" t="s">
        <v>24</v>
      </c>
      <c r="L157" s="30"/>
      <c r="M157" s="30"/>
      <c r="N157" s="30"/>
      <c r="O157" s="30"/>
    </row>
    <row r="158">
      <c r="A158" s="37"/>
      <c r="B158" s="37"/>
      <c r="C158" s="148" t="s">
        <v>274</v>
      </c>
      <c r="D158" s="78"/>
      <c r="E158" s="122"/>
      <c r="F158" s="149" t="s">
        <v>275</v>
      </c>
      <c r="G158" s="30"/>
      <c r="H158" s="30"/>
      <c r="I158" s="30"/>
      <c r="J158" s="30"/>
      <c r="K158" s="30"/>
      <c r="L158" s="30"/>
      <c r="M158" s="30"/>
      <c r="N158" s="30"/>
      <c r="O158" s="30"/>
    </row>
    <row r="159">
      <c r="A159" s="150"/>
      <c r="B159" s="150">
        <f>ROW()</f>
        <v>159</v>
      </c>
      <c r="C159" s="150" t="str">
        <f>CONCAT("Total Cases = ",ROW()-6)</f>
        <v>Total Cases = 153</v>
      </c>
      <c r="D159" s="150"/>
      <c r="E159" s="150"/>
      <c r="F159" s="151" t="s">
        <v>276</v>
      </c>
      <c r="G159" s="21">
        <f t="shared" ref="G159:O159" si="3">round(counta(G6:G158)*100/(row()-6),0)</f>
        <v>0</v>
      </c>
      <c r="H159" s="21">
        <f t="shared" si="3"/>
        <v>87</v>
      </c>
      <c r="I159" s="21">
        <f t="shared" si="3"/>
        <v>0</v>
      </c>
      <c r="J159" s="21">
        <f t="shared" si="3"/>
        <v>0</v>
      </c>
      <c r="K159" s="21">
        <f t="shared" si="3"/>
        <v>83</v>
      </c>
      <c r="L159" s="21">
        <f t="shared" si="3"/>
        <v>2</v>
      </c>
      <c r="M159" s="21">
        <f t="shared" si="3"/>
        <v>0</v>
      </c>
      <c r="N159" s="21">
        <f t="shared" si="3"/>
        <v>0</v>
      </c>
      <c r="O159" s="21">
        <f t="shared" si="3"/>
        <v>63</v>
      </c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>
      <c r="A164" s="79" t="str">
        <f>IFERROR(__xludf.DUMMYFUNCTION("CONCAT(SPLIT(G1, "")"", FALSE), "")"")"),"LD 2026-1 Pass 3 (StartDate: 27/Jan/2025)")</f>
        <v>LD 2026-1 Pass 3 (StartDate: 27/Jan/2025)</v>
      </c>
      <c r="B164" s="152"/>
      <c r="C164" s="152"/>
      <c r="D164" s="153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>
      <c r="A165" s="154"/>
      <c r="B165" s="155" t="s">
        <v>5</v>
      </c>
      <c r="C165" s="155" t="s">
        <v>277</v>
      </c>
      <c r="D165" s="155" t="s">
        <v>7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>
      <c r="A166" s="155" t="s">
        <v>278</v>
      </c>
      <c r="B166" s="154">
        <f>IF(AND(G4 &lt;&gt; "Not Tested", G4 &lt;&gt; ""), COUNTIF(G45:G153, "OK"), 0)</f>
        <v>0</v>
      </c>
      <c r="C166" s="154">
        <f>IF(AND(H4 &lt;&gt; "Not Tested", H4 &lt;&gt; "") , COUNTIF(H45:H153, "OK"), 0)</f>
        <v>88</v>
      </c>
      <c r="D166" s="154">
        <f>IF(AND(I4 &lt;&gt; "Not Tested", I4 &lt;&gt; ""), COUNTIF(I45:I153, "OK"), 0)</f>
        <v>0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>
      <c r="A167" s="155" t="s">
        <v>279</v>
      </c>
      <c r="B167" s="154">
        <f t="shared" ref="B167:D167" si="4">IF(AND(G4 &lt;&gt; "Not Tested", G4 &lt;&gt; ""), SUM(COUNTIF(G45:G153, "SS-*"),COUNTIF(G45:G153, "PANEL-*")), 0)</f>
        <v>0</v>
      </c>
      <c r="C167" s="154">
        <f t="shared" si="4"/>
        <v>0</v>
      </c>
      <c r="D167" s="154">
        <f t="shared" si="4"/>
        <v>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>
      <c r="A168" s="155" t="s">
        <v>280</v>
      </c>
      <c r="B168" s="154">
        <f t="shared" ref="B168:D168" si="5">IF(AND(G4 &lt;&gt; "Not Tested", G4 &lt;&gt; ""), COUNTIF(G45:G153, "Not Tested"), 0)</f>
        <v>0</v>
      </c>
      <c r="C168" s="154">
        <f t="shared" si="5"/>
        <v>0</v>
      </c>
      <c r="D168" s="154">
        <f t="shared" si="5"/>
        <v>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>
      <c r="A169" s="155" t="s">
        <v>281</v>
      </c>
      <c r="B169" s="154">
        <f t="shared" ref="B169:D169" si="6">IF(AND(G4 &lt;&gt; "Not Tested", G4 &lt;&gt; ""), COUNTIF(G45:G153, ""), 0)</f>
        <v>0</v>
      </c>
      <c r="C169" s="154">
        <f t="shared" si="6"/>
        <v>18</v>
      </c>
      <c r="D169" s="154">
        <f t="shared" si="6"/>
        <v>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>
      <c r="A172" s="156" t="s">
        <v>282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>
      <c r="A173" s="157" t="s">
        <v>8</v>
      </c>
      <c r="B173" s="158"/>
      <c r="C173" s="158"/>
      <c r="D173" s="158"/>
      <c r="E173" s="157" t="s">
        <v>283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>
      <c r="A174" s="159" t="s">
        <v>284</v>
      </c>
      <c r="B174" s="158"/>
      <c r="C174" s="158"/>
      <c r="D174" s="158"/>
      <c r="E174" s="160" t="s">
        <v>24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>
      <c r="A175" s="161" t="s">
        <v>285</v>
      </c>
      <c r="B175" s="158"/>
      <c r="C175" s="158"/>
      <c r="D175" s="158"/>
      <c r="E175" s="162" t="s">
        <v>12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>
      <c r="A176" s="163" t="s">
        <v>286</v>
      </c>
      <c r="B176" s="158"/>
      <c r="C176" s="158"/>
      <c r="D176" s="158"/>
      <c r="E176" s="164" t="s">
        <v>287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>
      <c r="A177" s="165" t="s">
        <v>288</v>
      </c>
      <c r="B177" s="158"/>
      <c r="C177" s="158"/>
      <c r="D177" s="158"/>
      <c r="E177" s="166" t="s">
        <v>10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>
      <c r="A178" s="167" t="s">
        <v>289</v>
      </c>
      <c r="B178" s="158"/>
      <c r="C178" s="158"/>
      <c r="D178" s="158"/>
      <c r="E178" s="168" t="s">
        <v>290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>
      <c r="A179" s="169" t="s">
        <v>291</v>
      </c>
      <c r="B179" s="158"/>
      <c r="C179" s="158"/>
      <c r="D179" s="158"/>
      <c r="E179" s="170" t="s">
        <v>292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>
      <c r="A180" s="171" t="s">
        <v>293</v>
      </c>
      <c r="B180" s="158"/>
      <c r="C180" s="158"/>
      <c r="D180" s="158"/>
      <c r="E180" s="172" t="s">
        <v>294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>
      <c r="A181" s="173" t="s">
        <v>295</v>
      </c>
      <c r="B181" s="158"/>
      <c r="C181" s="158"/>
      <c r="D181" s="158"/>
      <c r="E181" s="174" t="s">
        <v>11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>
      <c r="A182" s="175" t="s">
        <v>296</v>
      </c>
      <c r="B182" s="158"/>
      <c r="C182" s="158"/>
      <c r="D182" s="158"/>
      <c r="E182" s="176" t="s">
        <v>12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>
      <c r="A183" s="177" t="s">
        <v>297</v>
      </c>
      <c r="B183" s="158"/>
      <c r="C183" s="158"/>
      <c r="D183" s="158"/>
      <c r="E183" s="158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>
      <c r="A184" s="178" t="s">
        <v>298</v>
      </c>
      <c r="B184" s="158"/>
      <c r="C184" s="158"/>
      <c r="D184" s="158"/>
      <c r="E184" s="158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>
      <c r="A185" s="179" t="s">
        <v>299</v>
      </c>
      <c r="B185" s="158"/>
      <c r="C185" s="158"/>
      <c r="D185" s="158"/>
      <c r="E185" s="158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>
      <c r="A186" s="180" t="s">
        <v>300</v>
      </c>
      <c r="B186" s="158"/>
      <c r="C186" s="158"/>
      <c r="D186" s="158"/>
      <c r="E186" s="158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>
      <c r="A187" s="181" t="s">
        <v>301</v>
      </c>
      <c r="B187" s="158"/>
      <c r="C187" s="158"/>
      <c r="D187" s="158"/>
      <c r="E187" s="158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</sheetData>
  <mergeCells count="31">
    <mergeCell ref="B129:B142"/>
    <mergeCell ref="B143:B153"/>
    <mergeCell ref="A164:D164"/>
    <mergeCell ref="A172:E172"/>
    <mergeCell ref="B57:B58"/>
    <mergeCell ref="B59:B62"/>
    <mergeCell ref="A63:A158"/>
    <mergeCell ref="B63:B79"/>
    <mergeCell ref="B80:B94"/>
    <mergeCell ref="B95:B98"/>
    <mergeCell ref="B99:B118"/>
    <mergeCell ref="B154:B158"/>
    <mergeCell ref="B14:B18"/>
    <mergeCell ref="B19:B21"/>
    <mergeCell ref="B22:B25"/>
    <mergeCell ref="B26:B27"/>
    <mergeCell ref="B28:B33"/>
    <mergeCell ref="B34:B39"/>
    <mergeCell ref="B40:B41"/>
    <mergeCell ref="B42:B45"/>
    <mergeCell ref="B46:B49"/>
    <mergeCell ref="B50:B56"/>
    <mergeCell ref="G1:I1"/>
    <mergeCell ref="J1:L1"/>
    <mergeCell ref="M1:O1"/>
    <mergeCell ref="A6:A8"/>
    <mergeCell ref="B6:B8"/>
    <mergeCell ref="A9:A62"/>
    <mergeCell ref="B9:B13"/>
    <mergeCell ref="B119:B124"/>
    <mergeCell ref="B125:B128"/>
  </mergeCells>
  <conditionalFormatting sqref="B3:D3 G4:O4">
    <cfRule type="cellIs" dxfId="0" priority="1" stopIfTrue="1" operator="equal">
      <formula>"Amrita"</formula>
    </cfRule>
  </conditionalFormatting>
  <conditionalFormatting sqref="B3:D3 G4:O4">
    <cfRule type="cellIs" dxfId="1" priority="2" stopIfTrue="1" operator="equal">
      <formula>"Soumya"</formula>
    </cfRule>
  </conditionalFormatting>
  <conditionalFormatting sqref="B3:D3 G4:O4">
    <cfRule type="cellIs" dxfId="2" priority="3" stopIfTrue="1" operator="equal">
      <formula>"Hannah"</formula>
    </cfRule>
  </conditionalFormatting>
  <conditionalFormatting sqref="B3:D3 G4:O4">
    <cfRule type="cellIs" dxfId="3" priority="4" stopIfTrue="1" operator="equal">
      <formula>"Naga Lakshmi"</formula>
    </cfRule>
  </conditionalFormatting>
  <conditionalFormatting sqref="B3:D3 G4:O4">
    <cfRule type="cellIs" dxfId="4" priority="5" stopIfTrue="1" operator="equal">
      <formula>"Aditya"</formula>
    </cfRule>
  </conditionalFormatting>
  <conditionalFormatting sqref="B3:D3 G4:O4">
    <cfRule type="cellIs" dxfId="5" priority="6" stopIfTrue="1" operator="equal">
      <formula>"Sakshi"</formula>
    </cfRule>
  </conditionalFormatting>
  <conditionalFormatting sqref="B3:D3 G4:O4">
    <cfRule type="cellIs" dxfId="6" priority="7" stopIfTrue="1" operator="equal">
      <formula>"Abdul"</formula>
    </cfRule>
  </conditionalFormatting>
  <conditionalFormatting sqref="B3:D3 G4:O4">
    <cfRule type="cellIs" dxfId="7" priority="8" stopIfTrue="1" operator="equal">
      <formula>"Sourabh"</formula>
    </cfRule>
  </conditionalFormatting>
  <conditionalFormatting sqref="B3:D3 G4:O4">
    <cfRule type="cellIs" dxfId="8" priority="9" stopIfTrue="1" operator="equal">
      <formula>"Prachi"</formula>
    </cfRule>
  </conditionalFormatting>
  <conditionalFormatting sqref="B3:D3 G4:O4">
    <cfRule type="cellIs" dxfId="9" priority="10" stopIfTrue="1" operator="equal">
      <formula>"Vishnu"</formula>
    </cfRule>
  </conditionalFormatting>
  <conditionalFormatting sqref="B3:D3 G4:O4">
    <cfRule type="cellIs" dxfId="10" priority="11" stopIfTrue="1" operator="equal">
      <formula>"Ivy"</formula>
    </cfRule>
  </conditionalFormatting>
  <conditionalFormatting sqref="B3:D3 G4:O4">
    <cfRule type="cellIs" dxfId="11" priority="12" stopIfTrue="1" operator="equal">
      <formula>"Rupal"</formula>
    </cfRule>
  </conditionalFormatting>
  <conditionalFormatting sqref="B3:D3 G4:O4">
    <cfRule type="cellIs" dxfId="12" priority="13" stopIfTrue="1" operator="equal">
      <formula>"Soumyajit"</formula>
    </cfRule>
  </conditionalFormatting>
  <conditionalFormatting sqref="B3:D3 G4:O4">
    <cfRule type="cellIs" dxfId="13" priority="14" stopIfTrue="1" operator="equal">
      <formula>"Propali"</formula>
    </cfRule>
  </conditionalFormatting>
  <conditionalFormatting sqref="B3:D3 G4:O4">
    <cfRule type="cellIs" dxfId="14" priority="15" stopIfTrue="1" operator="equal">
      <formula>"Akshay"</formula>
    </cfRule>
  </conditionalFormatting>
  <conditionalFormatting sqref="B3:D3 G4:O4">
    <cfRule type="cellIs" dxfId="15" priority="16" stopIfTrue="1" operator="equal">
      <formula>"Nachiket"</formula>
    </cfRule>
  </conditionalFormatting>
  <conditionalFormatting sqref="G6:O158">
    <cfRule type="cellIs" dxfId="16" priority="17" stopIfTrue="1" operator="equal">
      <formula>"OK"</formula>
    </cfRule>
  </conditionalFormatting>
  <conditionalFormatting sqref="G6:O158">
    <cfRule type="cellIs" dxfId="16" priority="18" stopIfTrue="1" operator="equal">
      <formula>"AUTO_PASS"</formula>
    </cfRule>
  </conditionalFormatting>
  <conditionalFormatting sqref="G6:O158">
    <cfRule type="cellIs" dxfId="17" priority="19" stopIfTrue="1" operator="equal">
      <formula>"AUTO_FAIL"</formula>
    </cfRule>
  </conditionalFormatting>
  <conditionalFormatting sqref="B3:D3 G4:O4 G6:O158">
    <cfRule type="cellIs" dxfId="18" priority="20" stopIfTrue="1" operator="equal">
      <formula>"Not Tested"</formula>
    </cfRule>
  </conditionalFormatting>
  <conditionalFormatting sqref="G6:O158">
    <cfRule type="cellIs" dxfId="19" priority="21" stopIfTrue="1" operator="equal">
      <formula>"N/A"</formula>
    </cfRule>
  </conditionalFormatting>
  <conditionalFormatting sqref="B2:D2 G3:O3">
    <cfRule type="containsText" dxfId="20" priority="22" stopIfTrue="1" operator="containsText" text="Incomplete">
      <formula>NOT(ISERROR(SEARCH(("Incomplete"),(B2))))</formula>
    </cfRule>
  </conditionalFormatting>
  <conditionalFormatting sqref="B2:D2 G3:O3">
    <cfRule type="containsText" dxfId="17" priority="23" stopIfTrue="1" operator="containsText" text="Broken">
      <formula>NOT(ISERROR(SEARCH(("Broken"),(B2))))</formula>
    </cfRule>
  </conditionalFormatting>
  <conditionalFormatting sqref="B2:D2 G3:O3">
    <cfRule type="containsText" dxfId="21" priority="24" stopIfTrue="1" operator="containsText" text="Some problems">
      <formula>NOT(ISERROR(SEARCH(("Some problems"),(B2))))</formula>
    </cfRule>
  </conditionalFormatting>
  <conditionalFormatting sqref="B2:D2 G3:O3">
    <cfRule type="containsText" dxfId="22" priority="25" stopIfTrue="1" operator="containsText" text="All OK">
      <formula>NOT(ISERROR(SEARCH(("All OK"),(B2))))</formula>
    </cfRule>
  </conditionalFormatting>
  <conditionalFormatting sqref="B2:D2 G3:O3">
    <cfRule type="containsText" dxfId="23" priority="26" stopIfTrue="1" operator="containsText" text="In Progress">
      <formula>NOT(ISERROR(SEARCH(("In Progress"),(B2))))</formula>
    </cfRule>
  </conditionalFormatting>
  <conditionalFormatting sqref="B2:D2 G3:O3">
    <cfRule type="containsText" dxfId="24" priority="27" stopIfTrue="1" operator="containsText" text="Not Tested">
      <formula>NOT(ISERROR(SEARCH(("Not Tested"),(B2))))</formula>
    </cfRule>
  </conditionalFormatting>
  <dataValidations>
    <dataValidation type="custom" allowBlank="1" showDropDown="1" showInputMessage="1" showErrorMessage="1" prompt="Invalid Entry. The Value should either be OK,Not Tested,N/A,Filter or JIRA Case Number. For anything else,put comments." sqref="G6:O158">
      <formula1>IF(REGEXMATCH(TO_TEXT(G6),"OK|AUTO_PASS|AUTO_XPASS|AUTO_FAIL|AUTO_SKIP|Not Tested|N/A|Filter|BROKEN|(^SS|PANEL|SKETCH|SHARED|ACAS|ENUM|LDL|AD|LDIMPORT|LDGRID|LDID8|LDSEARCH|LDTOOLS|LDADMIN|LDSCALE|LDINFRA|LDPREM|LDCOSTS)-[0-9]"),True,False)</formula1>
    </dataValidation>
    <dataValidation type="custom" allowBlank="1" showDropDown="1" showInputMessage="1" showErrorMessage="1" prompt="Invalid Entry. The Value should either be OK,Not Tested,N/A,Filter or JIRA Case Number. For anything else,put comments." sqref="F75:F76 F87">
      <formula1>IF(REGEXMATCH(TO_TEXT(F75),"OK|Not Tested|N/A|Filter|BROKEN|(^SS|LDIDEAS|PANEL)-[0-9]"),True,False)</formula1>
    </dataValidation>
    <dataValidation type="list" allowBlank="1" showInputMessage="1" showErrorMessage="1" prompt="Invalid Status" sqref="G3:O3">
      <formula1>"Incomplete,Broken,All OK,Some problems,Not Tested,In Progress"</formula1>
    </dataValidation>
  </dataValidations>
  <hyperlinks>
    <hyperlink r:id="rId4" ref="E9"/>
    <hyperlink r:id="rId5" ref="E12"/>
    <hyperlink r:id="rId6" ref="F14"/>
    <hyperlink r:id="rId7" ref="F17"/>
    <hyperlink r:id="rId8" ref="E33"/>
    <hyperlink r:id="rId9" ref="C37"/>
    <hyperlink r:id="rId10" ref="E44"/>
    <hyperlink r:id="rId11" ref="F48"/>
    <hyperlink r:id="rId12" ref="E50"/>
    <hyperlink r:id="rId13" ref="F51"/>
    <hyperlink r:id="rId14" ref="E58"/>
    <hyperlink r:id="rId15" ref="F58"/>
    <hyperlink r:id="rId16" ref="E59"/>
    <hyperlink r:id="rId17" ref="F59"/>
    <hyperlink r:id="rId18" ref="E60"/>
    <hyperlink r:id="rId19" ref="F60"/>
    <hyperlink r:id="rId20" ref="F61"/>
    <hyperlink r:id="rId21" ref="F62"/>
    <hyperlink r:id="rId22" ref="H63"/>
    <hyperlink r:id="rId23" ref="F65"/>
    <hyperlink r:id="rId24" ref="E66"/>
    <hyperlink r:id="rId25" ref="F67"/>
    <hyperlink r:id="rId26" ref="E68"/>
    <hyperlink r:id="rId27" ref="E69"/>
    <hyperlink r:id="rId28" ref="F69"/>
    <hyperlink r:id="rId29" location="heading=h.5z8va7x64nmd" ref="F70"/>
    <hyperlink r:id="rId30" ref="F71"/>
    <hyperlink r:id="rId31" ref="F72"/>
    <hyperlink r:id="rId32" ref="E73"/>
    <hyperlink r:id="rId33" ref="E76"/>
    <hyperlink r:id="rId34" ref="F76"/>
    <hyperlink r:id="rId35" ref="D80"/>
    <hyperlink r:id="rId36" ref="E80"/>
    <hyperlink r:id="rId37" ref="F82"/>
    <hyperlink r:id="rId38" ref="F83"/>
    <hyperlink r:id="rId39" ref="F84"/>
    <hyperlink r:id="rId40" ref="E85"/>
    <hyperlink r:id="rId41" ref="F85"/>
    <hyperlink r:id="rId42" ref="F87"/>
    <hyperlink r:id="rId43" ref="E88"/>
    <hyperlink r:id="rId44" ref="E89"/>
    <hyperlink r:id="rId45" ref="E91"/>
    <hyperlink r:id="rId46" ref="F93"/>
    <hyperlink r:id="rId47" ref="F95"/>
    <hyperlink r:id="rId48" ref="D96"/>
    <hyperlink r:id="rId49" ref="F96"/>
    <hyperlink r:id="rId50" ref="F97"/>
    <hyperlink r:id="rId51" ref="E100"/>
    <hyperlink r:id="rId52" ref="F101"/>
    <hyperlink r:id="rId53" ref="F104"/>
    <hyperlink r:id="rId54" ref="F106"/>
    <hyperlink r:id="rId55" ref="F108"/>
    <hyperlink r:id="rId56" ref="F111"/>
    <hyperlink r:id="rId57" ref="F112"/>
    <hyperlink r:id="rId58" ref="F113"/>
    <hyperlink r:id="rId59" ref="F114"/>
    <hyperlink r:id="rId60" ref="F115"/>
    <hyperlink r:id="rId61" ref="F116"/>
    <hyperlink r:id="rId62" ref="F117"/>
    <hyperlink r:id="rId63" ref="E118"/>
    <hyperlink r:id="rId64" ref="F118"/>
    <hyperlink r:id="rId65" ref="F120"/>
    <hyperlink r:id="rId66" ref="F124"/>
    <hyperlink r:id="rId67" ref="E125"/>
    <hyperlink r:id="rId68" ref="F127"/>
    <hyperlink r:id="rId69" ref="F128"/>
    <hyperlink r:id="rId70" ref="F129"/>
    <hyperlink r:id="rId71" ref="F134"/>
    <hyperlink r:id="rId72" ref="F135"/>
    <hyperlink r:id="rId73" ref="F143"/>
    <hyperlink r:id="rId74" ref="E144"/>
    <hyperlink r:id="rId75" ref="F144"/>
    <hyperlink r:id="rId76" ref="F145"/>
    <hyperlink r:id="rId77" ref="F146"/>
    <hyperlink r:id="rId78" ref="F147"/>
    <hyperlink r:id="rId79" ref="F148"/>
    <hyperlink r:id="rId80" ref="F150"/>
    <hyperlink r:id="rId81" ref="E154"/>
    <hyperlink r:id="rId82" ref="D155"/>
    <hyperlink r:id="rId83" ref="E156"/>
    <hyperlink r:id="rId84" ref="F157"/>
    <hyperlink r:id="rId85" location="/projects/1351/livereports/112306" ref="F158"/>
  </hyperlinks>
  <drawing r:id="rId86"/>
  <legacyDrawing r:id="rId8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302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302</v>
      </c>
      <c r="H1" s="6"/>
      <c r="I1" s="7"/>
      <c r="J1" s="5" t="s">
        <v>306</v>
      </c>
      <c r="K1" s="6"/>
      <c r="L1" s="7"/>
    </row>
    <row r="2">
      <c r="A2" s="8"/>
      <c r="B2" s="9" t="s">
        <v>10</v>
      </c>
      <c r="C2" s="9" t="s">
        <v>307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</row>
    <row r="3">
      <c r="A3" s="13" t="s">
        <v>8</v>
      </c>
      <c r="B3" s="9" t="s">
        <v>12</v>
      </c>
      <c r="C3" s="9" t="s">
        <v>14</v>
      </c>
      <c r="D3" s="9" t="s">
        <v>12</v>
      </c>
      <c r="E3" s="10"/>
      <c r="F3" s="14" t="s">
        <v>9</v>
      </c>
      <c r="G3" s="15" t="s">
        <v>10</v>
      </c>
      <c r="H3" s="15" t="s">
        <v>292</v>
      </c>
      <c r="I3" s="15" t="s">
        <v>10</v>
      </c>
      <c r="J3" s="15" t="s">
        <v>10</v>
      </c>
      <c r="K3" s="15" t="s">
        <v>10</v>
      </c>
      <c r="L3" s="15" t="s">
        <v>12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14</v>
      </c>
      <c r="I4" s="15" t="s">
        <v>12</v>
      </c>
      <c r="J4" s="15" t="s">
        <v>12</v>
      </c>
      <c r="K4" s="15" t="s">
        <v>12</v>
      </c>
      <c r="L4" s="15" t="s">
        <v>14</v>
      </c>
    </row>
    <row r="5">
      <c r="A5" s="18" t="s">
        <v>15</v>
      </c>
      <c r="B5" s="19" t="s">
        <v>16</v>
      </c>
      <c r="C5" s="19" t="s">
        <v>17</v>
      </c>
      <c r="D5" s="19" t="s">
        <v>18</v>
      </c>
      <c r="E5" s="19" t="s">
        <v>19</v>
      </c>
      <c r="F5" s="20" t="s">
        <v>20</v>
      </c>
      <c r="G5" s="21"/>
      <c r="H5" s="21"/>
      <c r="I5" s="22"/>
      <c r="J5" s="21"/>
      <c r="K5" s="21"/>
      <c r="L5" s="22"/>
    </row>
    <row r="6">
      <c r="A6" s="23" t="s">
        <v>21</v>
      </c>
      <c r="B6" s="24" t="s">
        <v>22</v>
      </c>
      <c r="C6" s="25" t="s">
        <v>23</v>
      </c>
      <c r="D6" s="26"/>
      <c r="E6" s="27"/>
      <c r="F6" s="28"/>
      <c r="G6" s="29"/>
      <c r="H6" s="29" t="s">
        <v>24</v>
      </c>
      <c r="I6" s="31"/>
      <c r="J6" s="29"/>
      <c r="K6" s="29"/>
      <c r="L6" s="31"/>
    </row>
    <row r="7">
      <c r="A7" s="32"/>
      <c r="B7" s="32"/>
      <c r="C7" s="33" t="s">
        <v>25</v>
      </c>
      <c r="D7" s="34"/>
      <c r="E7" s="35"/>
      <c r="F7" s="36"/>
      <c r="G7" s="29"/>
      <c r="H7" s="29" t="s">
        <v>24</v>
      </c>
      <c r="I7" s="30"/>
      <c r="J7" s="29"/>
      <c r="K7" s="29"/>
      <c r="L7" s="30"/>
    </row>
    <row r="8">
      <c r="A8" s="37"/>
      <c r="B8" s="37"/>
      <c r="C8" s="33" t="s">
        <v>26</v>
      </c>
      <c r="D8" s="34"/>
      <c r="E8" s="35"/>
      <c r="F8" s="36"/>
      <c r="G8" s="29"/>
      <c r="H8" s="29" t="s">
        <v>24</v>
      </c>
      <c r="I8" s="29"/>
      <c r="J8" s="29"/>
      <c r="K8" s="29"/>
      <c r="L8" s="29"/>
    </row>
    <row r="9">
      <c r="A9" s="38" t="s">
        <v>27</v>
      </c>
      <c r="B9" s="39" t="s">
        <v>28</v>
      </c>
      <c r="C9" s="40" t="s">
        <v>29</v>
      </c>
      <c r="D9" s="34"/>
      <c r="E9" s="182" t="s">
        <v>308</v>
      </c>
      <c r="F9" s="36"/>
      <c r="G9" s="29"/>
      <c r="H9" s="29" t="s">
        <v>24</v>
      </c>
      <c r="I9" s="30"/>
      <c r="J9" s="29"/>
      <c r="K9" s="29"/>
      <c r="L9" s="30"/>
    </row>
    <row r="10">
      <c r="A10" s="32"/>
      <c r="B10" s="32"/>
      <c r="C10" s="40" t="s">
        <v>31</v>
      </c>
      <c r="D10" s="34"/>
      <c r="E10" s="35"/>
      <c r="F10" s="36"/>
      <c r="G10" s="29"/>
      <c r="H10" s="29" t="s">
        <v>24</v>
      </c>
      <c r="I10" s="30"/>
      <c r="J10" s="29"/>
      <c r="K10" s="29"/>
      <c r="L10" s="30"/>
    </row>
    <row r="11">
      <c r="A11" s="32"/>
      <c r="B11" s="32"/>
      <c r="C11" s="40" t="s">
        <v>32</v>
      </c>
      <c r="D11" s="34"/>
      <c r="E11" s="35"/>
      <c r="F11" s="36"/>
      <c r="G11" s="29"/>
      <c r="H11" s="29" t="s">
        <v>24</v>
      </c>
      <c r="I11" s="42"/>
      <c r="J11" s="29"/>
      <c r="K11" s="29"/>
      <c r="L11" s="42"/>
    </row>
    <row r="12">
      <c r="A12" s="32"/>
      <c r="B12" s="32"/>
      <c r="C12" s="43" t="s">
        <v>33</v>
      </c>
      <c r="D12" s="34"/>
      <c r="E12" s="44" t="s">
        <v>34</v>
      </c>
      <c r="F12" s="36"/>
      <c r="G12" s="29"/>
      <c r="H12" s="29" t="s">
        <v>24</v>
      </c>
      <c r="I12" s="42"/>
      <c r="J12" s="29"/>
      <c r="K12" s="29"/>
      <c r="L12" s="42"/>
    </row>
    <row r="13">
      <c r="A13" s="32"/>
      <c r="B13" s="37"/>
      <c r="C13" s="40" t="s">
        <v>35</v>
      </c>
      <c r="D13" s="34"/>
      <c r="E13" s="35"/>
      <c r="F13" s="36"/>
      <c r="G13" s="29"/>
      <c r="H13" s="29"/>
      <c r="I13" s="42"/>
      <c r="J13" s="29"/>
      <c r="K13" s="29"/>
      <c r="L13" s="42"/>
    </row>
    <row r="14">
      <c r="A14" s="32"/>
      <c r="B14" s="45" t="s">
        <v>36</v>
      </c>
      <c r="C14" s="46" t="s">
        <v>37</v>
      </c>
      <c r="D14" s="34"/>
      <c r="E14" s="35"/>
      <c r="F14" s="47" t="s">
        <v>38</v>
      </c>
      <c r="G14" s="29"/>
      <c r="H14" s="29" t="s">
        <v>24</v>
      </c>
      <c r="I14" s="30"/>
      <c r="J14" s="29"/>
      <c r="K14" s="29"/>
      <c r="L14" s="30"/>
    </row>
    <row r="15">
      <c r="A15" s="32"/>
      <c r="B15" s="32"/>
      <c r="C15" s="33" t="s">
        <v>39</v>
      </c>
      <c r="D15" s="34"/>
      <c r="E15" s="35"/>
      <c r="F15" s="36"/>
      <c r="G15" s="29"/>
      <c r="H15" s="29" t="s">
        <v>24</v>
      </c>
      <c r="I15" s="30"/>
      <c r="J15" s="29"/>
      <c r="K15" s="29"/>
      <c r="L15" s="30"/>
    </row>
    <row r="16">
      <c r="A16" s="32"/>
      <c r="B16" s="32"/>
      <c r="C16" s="48" t="s">
        <v>40</v>
      </c>
      <c r="D16" s="34"/>
      <c r="E16" s="35"/>
      <c r="F16" s="36"/>
      <c r="G16" s="29"/>
      <c r="H16" s="29" t="s">
        <v>24</v>
      </c>
      <c r="I16" s="30"/>
      <c r="J16" s="29"/>
      <c r="K16" s="29"/>
      <c r="L16" s="30"/>
    </row>
    <row r="17">
      <c r="A17" s="32"/>
      <c r="B17" s="32"/>
      <c r="C17" s="49" t="s">
        <v>41</v>
      </c>
      <c r="D17" s="34"/>
      <c r="E17" s="35"/>
      <c r="F17" s="47" t="s">
        <v>38</v>
      </c>
      <c r="G17" s="29"/>
      <c r="H17" s="29" t="s">
        <v>24</v>
      </c>
      <c r="I17" s="30"/>
      <c r="J17" s="29"/>
      <c r="K17" s="29"/>
      <c r="L17" s="30"/>
    </row>
    <row r="18">
      <c r="A18" s="32"/>
      <c r="B18" s="37"/>
      <c r="C18" s="46" t="s">
        <v>42</v>
      </c>
      <c r="D18" s="34"/>
      <c r="E18" s="35"/>
      <c r="F18" s="36"/>
      <c r="G18" s="29"/>
      <c r="H18" s="29" t="s">
        <v>24</v>
      </c>
      <c r="I18" s="42"/>
      <c r="J18" s="29"/>
      <c r="K18" s="29"/>
      <c r="L18" s="42"/>
    </row>
    <row r="19">
      <c r="A19" s="32"/>
      <c r="B19" s="45" t="s">
        <v>43</v>
      </c>
      <c r="C19" s="40" t="s">
        <v>44</v>
      </c>
      <c r="D19" s="34"/>
      <c r="E19" s="35"/>
      <c r="F19" s="36"/>
      <c r="G19" s="29"/>
      <c r="H19" s="29" t="s">
        <v>24</v>
      </c>
      <c r="I19" s="30"/>
      <c r="J19" s="29"/>
      <c r="K19" s="29"/>
      <c r="L19" s="30"/>
    </row>
    <row r="20">
      <c r="A20" s="32"/>
      <c r="B20" s="32"/>
      <c r="C20" s="40" t="s">
        <v>45</v>
      </c>
      <c r="D20" s="34"/>
      <c r="E20" s="35"/>
      <c r="F20" s="36"/>
      <c r="G20" s="29"/>
      <c r="H20" s="29" t="s">
        <v>24</v>
      </c>
      <c r="I20" s="30"/>
      <c r="J20" s="29"/>
      <c r="K20" s="29"/>
      <c r="L20" s="30"/>
    </row>
    <row r="21">
      <c r="A21" s="32"/>
      <c r="B21" s="37"/>
      <c r="C21" s="40" t="s">
        <v>46</v>
      </c>
      <c r="D21" s="34"/>
      <c r="E21" s="35"/>
      <c r="F21" s="36"/>
      <c r="G21" s="29"/>
      <c r="H21" s="29" t="s">
        <v>24</v>
      </c>
      <c r="I21" s="30"/>
      <c r="J21" s="29"/>
      <c r="K21" s="29"/>
      <c r="L21" s="30"/>
    </row>
    <row r="22">
      <c r="A22" s="32"/>
      <c r="B22" s="45" t="s">
        <v>47</v>
      </c>
      <c r="C22" s="40" t="s">
        <v>48</v>
      </c>
      <c r="D22" s="34"/>
      <c r="E22" s="35"/>
      <c r="F22" s="36"/>
      <c r="G22" s="29"/>
      <c r="H22" s="29" t="s">
        <v>24</v>
      </c>
      <c r="I22" s="30"/>
      <c r="J22" s="29"/>
      <c r="K22" s="29"/>
      <c r="L22" s="30"/>
    </row>
    <row r="23">
      <c r="A23" s="32"/>
      <c r="B23" s="32"/>
      <c r="C23" s="40" t="s">
        <v>49</v>
      </c>
      <c r="D23" s="34"/>
      <c r="E23" s="35"/>
      <c r="F23" s="36"/>
      <c r="G23" s="29"/>
      <c r="H23" s="29" t="s">
        <v>24</v>
      </c>
      <c r="I23" s="30"/>
      <c r="J23" s="29"/>
      <c r="K23" s="29"/>
      <c r="L23" s="30"/>
    </row>
    <row r="24">
      <c r="A24" s="32"/>
      <c r="B24" s="32"/>
      <c r="C24" s="40" t="s">
        <v>50</v>
      </c>
      <c r="D24" s="34"/>
      <c r="E24" s="35"/>
      <c r="F24" s="36"/>
      <c r="G24" s="29"/>
      <c r="H24" s="29" t="s">
        <v>24</v>
      </c>
      <c r="I24" s="30"/>
      <c r="J24" s="29"/>
      <c r="K24" s="29"/>
      <c r="L24" s="30"/>
    </row>
    <row r="25">
      <c r="A25" s="32"/>
      <c r="B25" s="37"/>
      <c r="C25" s="40" t="s">
        <v>51</v>
      </c>
      <c r="D25" s="34"/>
      <c r="E25" s="35"/>
      <c r="F25" s="36"/>
      <c r="G25" s="29"/>
      <c r="H25" s="29" t="s">
        <v>24</v>
      </c>
      <c r="I25" s="30"/>
      <c r="J25" s="29"/>
      <c r="K25" s="29"/>
      <c r="L25" s="30"/>
    </row>
    <row r="26">
      <c r="A26" s="32"/>
      <c r="B26" s="39" t="s">
        <v>52</v>
      </c>
      <c r="C26" s="46" t="s">
        <v>53</v>
      </c>
      <c r="D26" s="34"/>
      <c r="E26" s="35"/>
      <c r="F26" s="36"/>
      <c r="G26" s="29"/>
      <c r="H26" s="29" t="s">
        <v>24</v>
      </c>
      <c r="I26" s="30"/>
      <c r="J26" s="29"/>
      <c r="K26" s="29"/>
      <c r="L26" s="30"/>
    </row>
    <row r="27">
      <c r="A27" s="32"/>
      <c r="B27" s="37"/>
      <c r="C27" s="46" t="s">
        <v>54</v>
      </c>
      <c r="D27" s="34"/>
      <c r="E27" s="35"/>
      <c r="F27" s="36"/>
      <c r="G27" s="29"/>
      <c r="H27" s="29" t="s">
        <v>24</v>
      </c>
      <c r="I27" s="30"/>
      <c r="J27" s="29"/>
      <c r="K27" s="29"/>
      <c r="L27" s="30"/>
    </row>
    <row r="28">
      <c r="A28" s="32"/>
      <c r="B28" s="45" t="s">
        <v>55</v>
      </c>
      <c r="C28" s="46" t="s">
        <v>56</v>
      </c>
      <c r="D28" s="34"/>
      <c r="E28" s="35"/>
      <c r="F28" s="36"/>
      <c r="G28" s="29"/>
      <c r="H28" s="29" t="s">
        <v>24</v>
      </c>
      <c r="I28" s="30"/>
      <c r="J28" s="29"/>
      <c r="K28" s="29"/>
      <c r="L28" s="30"/>
    </row>
    <row r="29">
      <c r="A29" s="32"/>
      <c r="B29" s="32"/>
      <c r="C29" s="46" t="s">
        <v>57</v>
      </c>
      <c r="D29" s="34"/>
      <c r="E29" s="35"/>
      <c r="F29" s="36"/>
      <c r="G29" s="29"/>
      <c r="H29" s="29" t="s">
        <v>24</v>
      </c>
      <c r="I29" s="30"/>
      <c r="J29" s="29"/>
      <c r="K29" s="29"/>
      <c r="L29" s="30"/>
    </row>
    <row r="30">
      <c r="A30" s="32"/>
      <c r="B30" s="32"/>
      <c r="C30" s="46" t="s">
        <v>58</v>
      </c>
      <c r="D30" s="34"/>
      <c r="E30" s="35"/>
      <c r="F30" s="36"/>
      <c r="G30" s="29"/>
      <c r="H30" s="29" t="s">
        <v>24</v>
      </c>
      <c r="I30" s="30"/>
      <c r="J30" s="29"/>
      <c r="K30" s="29"/>
      <c r="L30" s="30"/>
    </row>
    <row r="31">
      <c r="A31" s="32"/>
      <c r="B31" s="32"/>
      <c r="C31" s="49" t="s">
        <v>59</v>
      </c>
      <c r="D31" s="34"/>
      <c r="E31" s="35"/>
      <c r="F31" s="36"/>
      <c r="G31" s="29"/>
      <c r="H31" s="29" t="s">
        <v>309</v>
      </c>
      <c r="I31" s="30"/>
      <c r="J31" s="29"/>
      <c r="K31" s="29"/>
      <c r="L31" s="30"/>
    </row>
    <row r="32">
      <c r="A32" s="32"/>
      <c r="B32" s="32"/>
      <c r="C32" s="49" t="s">
        <v>60</v>
      </c>
      <c r="D32" s="34"/>
      <c r="E32" s="35"/>
      <c r="F32" s="36"/>
      <c r="G32" s="29"/>
      <c r="H32" s="29"/>
      <c r="I32" s="30"/>
      <c r="J32" s="29"/>
      <c r="K32" s="29"/>
      <c r="L32" s="30"/>
    </row>
    <row r="33">
      <c r="A33" s="32"/>
      <c r="B33" s="37"/>
      <c r="C33" s="48" t="s">
        <v>61</v>
      </c>
      <c r="D33" s="34"/>
      <c r="E33" s="44" t="s">
        <v>62</v>
      </c>
      <c r="F33" s="50"/>
      <c r="G33" s="29"/>
      <c r="H33" s="51" t="s">
        <v>24</v>
      </c>
      <c r="I33" s="29"/>
      <c r="J33" s="29"/>
      <c r="K33" s="51"/>
      <c r="L33" s="29"/>
    </row>
    <row r="34">
      <c r="A34" s="32"/>
      <c r="B34" s="45" t="s">
        <v>63</v>
      </c>
      <c r="C34" s="46" t="s">
        <v>64</v>
      </c>
      <c r="D34" s="34"/>
      <c r="E34" s="35"/>
      <c r="F34" s="36"/>
      <c r="G34" s="29"/>
      <c r="H34" s="51" t="s">
        <v>24</v>
      </c>
      <c r="I34" s="30"/>
      <c r="J34" s="29"/>
      <c r="K34" s="29"/>
      <c r="L34" s="30"/>
    </row>
    <row r="35">
      <c r="A35" s="32"/>
      <c r="B35" s="32"/>
      <c r="C35" s="46" t="s">
        <v>65</v>
      </c>
      <c r="D35" s="34"/>
      <c r="E35" s="35"/>
      <c r="F35" s="36"/>
      <c r="G35" s="29"/>
      <c r="H35" s="51" t="s">
        <v>24</v>
      </c>
      <c r="I35" s="30"/>
      <c r="J35" s="29"/>
      <c r="K35" s="29"/>
      <c r="L35" s="30"/>
    </row>
    <row r="36">
      <c r="A36" s="32"/>
      <c r="B36" s="32"/>
      <c r="C36" s="46" t="s">
        <v>66</v>
      </c>
      <c r="D36" s="34"/>
      <c r="E36" s="35"/>
      <c r="F36" s="36"/>
      <c r="G36" s="29"/>
      <c r="H36" s="51" t="s">
        <v>24</v>
      </c>
      <c r="I36" s="30"/>
      <c r="J36" s="29"/>
      <c r="K36" s="29"/>
      <c r="L36" s="30"/>
    </row>
    <row r="37">
      <c r="A37" s="32"/>
      <c r="B37" s="32"/>
      <c r="C37" s="46" t="s">
        <v>310</v>
      </c>
      <c r="D37" s="34"/>
      <c r="E37" s="35"/>
      <c r="F37" s="36"/>
      <c r="G37" s="29"/>
      <c r="H37" s="51" t="s">
        <v>24</v>
      </c>
      <c r="I37" s="30"/>
      <c r="J37" s="29"/>
      <c r="K37" s="29"/>
      <c r="L37" s="30"/>
    </row>
    <row r="38">
      <c r="A38" s="32"/>
      <c r="B38" s="32"/>
      <c r="C38" s="46" t="s">
        <v>68</v>
      </c>
      <c r="D38" s="34"/>
      <c r="E38" s="35"/>
      <c r="F38" s="36"/>
      <c r="G38" s="29"/>
      <c r="H38" s="51" t="s">
        <v>24</v>
      </c>
      <c r="I38" s="30"/>
      <c r="J38" s="29"/>
      <c r="K38" s="29"/>
      <c r="L38" s="30"/>
    </row>
    <row r="39">
      <c r="A39" s="32"/>
      <c r="B39" s="37"/>
      <c r="C39" s="33" t="s">
        <v>69</v>
      </c>
      <c r="D39" s="34"/>
      <c r="E39" s="35"/>
      <c r="F39" s="36"/>
      <c r="G39" s="29"/>
      <c r="H39" s="51" t="s">
        <v>24</v>
      </c>
      <c r="I39" s="30"/>
      <c r="J39" s="29"/>
      <c r="K39" s="29"/>
      <c r="L39" s="30"/>
    </row>
    <row r="40">
      <c r="A40" s="32"/>
      <c r="B40" s="45" t="s">
        <v>70</v>
      </c>
      <c r="C40" s="46" t="s">
        <v>71</v>
      </c>
      <c r="D40" s="34"/>
      <c r="E40" s="35"/>
      <c r="F40" s="36"/>
      <c r="G40" s="29"/>
      <c r="H40" s="51" t="s">
        <v>24</v>
      </c>
      <c r="I40" s="30"/>
      <c r="J40" s="29"/>
      <c r="K40" s="29"/>
      <c r="L40" s="30"/>
    </row>
    <row r="41">
      <c r="A41" s="32"/>
      <c r="B41" s="37"/>
      <c r="C41" s="46" t="s">
        <v>72</v>
      </c>
      <c r="D41" s="34"/>
      <c r="E41" s="35"/>
      <c r="F41" s="36"/>
      <c r="G41" s="29"/>
      <c r="H41" s="51" t="s">
        <v>24</v>
      </c>
      <c r="I41" s="30"/>
      <c r="J41" s="29"/>
      <c r="K41" s="29"/>
      <c r="L41" s="30"/>
    </row>
    <row r="42">
      <c r="A42" s="32"/>
      <c r="B42" s="53" t="s">
        <v>73</v>
      </c>
      <c r="C42" s="46" t="s">
        <v>74</v>
      </c>
      <c r="D42" s="34"/>
      <c r="E42" s="54"/>
      <c r="F42" s="50"/>
      <c r="G42" s="29"/>
      <c r="H42" s="51" t="s">
        <v>24</v>
      </c>
      <c r="I42" s="30"/>
      <c r="J42" s="29"/>
      <c r="K42" s="29"/>
      <c r="L42" s="30"/>
    </row>
    <row r="43">
      <c r="A43" s="32"/>
      <c r="B43" s="32"/>
      <c r="C43" s="55" t="s">
        <v>75</v>
      </c>
      <c r="D43" s="34"/>
      <c r="E43" s="54"/>
      <c r="F43" s="56"/>
      <c r="G43" s="29"/>
      <c r="H43" s="51" t="s">
        <v>24</v>
      </c>
      <c r="I43" s="30"/>
      <c r="J43" s="29"/>
      <c r="K43" s="29"/>
      <c r="L43" s="30"/>
    </row>
    <row r="44">
      <c r="A44" s="32"/>
      <c r="B44" s="32"/>
      <c r="C44" s="46" t="s">
        <v>76</v>
      </c>
      <c r="D44" s="34"/>
      <c r="E44" s="44" t="s">
        <v>77</v>
      </c>
      <c r="F44" s="36"/>
      <c r="G44" s="29"/>
      <c r="H44" s="51" t="s">
        <v>24</v>
      </c>
      <c r="I44" s="29"/>
      <c r="J44" s="29"/>
      <c r="K44" s="29"/>
      <c r="L44" s="29"/>
    </row>
    <row r="45">
      <c r="A45" s="32"/>
      <c r="B45" s="37"/>
      <c r="C45" s="57" t="s">
        <v>78</v>
      </c>
      <c r="D45" s="34"/>
      <c r="F45" s="36"/>
      <c r="G45" s="29"/>
      <c r="H45" s="51" t="s">
        <v>24</v>
      </c>
      <c r="I45" s="29"/>
      <c r="J45" s="29"/>
      <c r="K45" s="29"/>
      <c r="L45" s="29"/>
    </row>
    <row r="46">
      <c r="A46" s="32"/>
      <c r="B46" s="45" t="s">
        <v>79</v>
      </c>
      <c r="C46" s="46" t="s">
        <v>80</v>
      </c>
      <c r="D46" s="34"/>
      <c r="E46" s="35"/>
      <c r="F46" s="36"/>
      <c r="G46" s="29"/>
      <c r="H46" s="51" t="s">
        <v>24</v>
      </c>
      <c r="I46" s="42"/>
      <c r="J46" s="29"/>
      <c r="K46" s="29"/>
      <c r="L46" s="42"/>
    </row>
    <row r="47">
      <c r="A47" s="32"/>
      <c r="B47" s="32"/>
      <c r="C47" s="55" t="s">
        <v>81</v>
      </c>
      <c r="D47" s="34"/>
      <c r="E47" s="35"/>
      <c r="F47" s="36"/>
      <c r="G47" s="29"/>
      <c r="H47" s="51" t="s">
        <v>24</v>
      </c>
      <c r="I47" s="29"/>
      <c r="J47" s="29"/>
      <c r="K47" s="29"/>
      <c r="L47" s="29"/>
    </row>
    <row r="48">
      <c r="A48" s="32"/>
      <c r="B48" s="32"/>
      <c r="C48" s="55" t="s">
        <v>82</v>
      </c>
      <c r="D48" s="34"/>
      <c r="E48" s="35"/>
      <c r="F48" s="58" t="s">
        <v>83</v>
      </c>
      <c r="G48" s="29"/>
      <c r="H48" s="51" t="s">
        <v>24</v>
      </c>
      <c r="I48" s="29"/>
      <c r="J48" s="29"/>
      <c r="K48" s="29"/>
      <c r="L48" s="29"/>
    </row>
    <row r="49">
      <c r="A49" s="32"/>
      <c r="B49" s="37"/>
      <c r="C49" s="55" t="s">
        <v>84</v>
      </c>
      <c r="D49" s="34"/>
      <c r="E49" s="35"/>
      <c r="F49" s="56"/>
      <c r="G49" s="29"/>
      <c r="H49" s="51" t="s">
        <v>24</v>
      </c>
      <c r="I49" s="29"/>
      <c r="J49" s="29"/>
      <c r="K49" s="29"/>
      <c r="L49" s="29"/>
    </row>
    <row r="50">
      <c r="A50" s="32"/>
      <c r="B50" s="45" t="s">
        <v>85</v>
      </c>
      <c r="C50" s="59" t="s">
        <v>86</v>
      </c>
      <c r="D50" s="34"/>
      <c r="E50" s="44" t="s">
        <v>34</v>
      </c>
      <c r="F50" s="56"/>
      <c r="G50" s="30"/>
      <c r="H50" s="51" t="s">
        <v>24</v>
      </c>
      <c r="I50" s="29"/>
      <c r="J50" s="30"/>
      <c r="K50" s="29"/>
      <c r="L50" s="29"/>
    </row>
    <row r="51">
      <c r="A51" s="32"/>
      <c r="B51" s="32"/>
      <c r="C51" s="60" t="s">
        <v>87</v>
      </c>
      <c r="D51" s="34"/>
      <c r="E51" s="34"/>
      <c r="F51" s="58" t="s">
        <v>38</v>
      </c>
      <c r="G51" s="30"/>
      <c r="H51" s="51" t="s">
        <v>24</v>
      </c>
      <c r="I51" s="29"/>
      <c r="J51" s="30"/>
      <c r="K51" s="29"/>
      <c r="L51" s="29"/>
    </row>
    <row r="52">
      <c r="A52" s="32"/>
      <c r="B52" s="32"/>
      <c r="C52" s="61" t="s">
        <v>88</v>
      </c>
      <c r="D52" s="34"/>
      <c r="E52" s="34"/>
      <c r="F52" s="56"/>
      <c r="G52" s="30"/>
      <c r="H52" s="51" t="s">
        <v>24</v>
      </c>
      <c r="I52" s="29"/>
      <c r="J52" s="30"/>
      <c r="K52" s="30"/>
      <c r="L52" s="29"/>
    </row>
    <row r="53">
      <c r="A53" s="32"/>
      <c r="B53" s="32"/>
      <c r="C53" s="55" t="s">
        <v>89</v>
      </c>
      <c r="D53" s="34"/>
      <c r="E53" s="35"/>
      <c r="F53" s="36"/>
      <c r="G53" s="30"/>
      <c r="H53" s="51" t="s">
        <v>24</v>
      </c>
      <c r="I53" s="29"/>
      <c r="J53" s="30"/>
      <c r="K53" s="30"/>
      <c r="L53" s="29"/>
    </row>
    <row r="54">
      <c r="A54" s="32"/>
      <c r="B54" s="32"/>
      <c r="C54" s="55" t="s">
        <v>90</v>
      </c>
      <c r="D54" s="34"/>
      <c r="E54" s="35"/>
      <c r="F54" s="36"/>
      <c r="G54" s="30"/>
      <c r="H54" s="51" t="s">
        <v>24</v>
      </c>
      <c r="I54" s="29"/>
      <c r="J54" s="30"/>
      <c r="K54" s="30"/>
      <c r="L54" s="29"/>
    </row>
    <row r="55">
      <c r="A55" s="32"/>
      <c r="B55" s="32"/>
      <c r="C55" s="62" t="s">
        <v>91</v>
      </c>
      <c r="D55" s="34"/>
      <c r="E55" s="35"/>
      <c r="F55" s="36"/>
      <c r="G55" s="30"/>
      <c r="H55" s="51" t="s">
        <v>24</v>
      </c>
      <c r="I55" s="29"/>
      <c r="J55" s="30"/>
      <c r="K55" s="30"/>
      <c r="L55" s="29"/>
    </row>
    <row r="56">
      <c r="A56" s="32"/>
      <c r="B56" s="37"/>
      <c r="C56" s="55" t="s">
        <v>92</v>
      </c>
      <c r="D56" s="34"/>
      <c r="E56" s="35"/>
      <c r="F56" s="56"/>
      <c r="G56" s="30"/>
      <c r="H56" s="51" t="s">
        <v>24</v>
      </c>
      <c r="I56" s="29"/>
      <c r="J56" s="30"/>
      <c r="K56" s="30"/>
      <c r="L56" s="29"/>
    </row>
    <row r="57">
      <c r="A57" s="32"/>
      <c r="B57" s="45" t="s">
        <v>93</v>
      </c>
      <c r="C57" s="63" t="s">
        <v>94</v>
      </c>
      <c r="D57" s="34"/>
      <c r="E57" s="35"/>
      <c r="F57" s="56"/>
      <c r="G57" s="30"/>
      <c r="H57" s="51" t="s">
        <v>24</v>
      </c>
      <c r="I57" s="29"/>
      <c r="J57" s="30"/>
      <c r="K57" s="30"/>
      <c r="L57" s="29"/>
    </row>
    <row r="58">
      <c r="A58" s="32"/>
      <c r="B58" s="37"/>
      <c r="C58" s="64" t="s">
        <v>95</v>
      </c>
      <c r="D58" s="34"/>
      <c r="E58" s="65" t="s">
        <v>96</v>
      </c>
      <c r="F58" s="56" t="s">
        <v>311</v>
      </c>
      <c r="G58" s="30"/>
      <c r="H58" s="51" t="s">
        <v>24</v>
      </c>
      <c r="I58" s="29"/>
      <c r="J58" s="30"/>
      <c r="K58" s="30"/>
      <c r="L58" s="29"/>
    </row>
    <row r="59">
      <c r="A59" s="32"/>
      <c r="B59" s="45" t="s">
        <v>98</v>
      </c>
      <c r="C59" s="60" t="s">
        <v>99</v>
      </c>
      <c r="D59" s="34"/>
      <c r="E59" s="44" t="s">
        <v>100</v>
      </c>
      <c r="F59" s="58" t="s">
        <v>101</v>
      </c>
      <c r="G59" s="29"/>
      <c r="H59" s="51" t="s">
        <v>24</v>
      </c>
      <c r="I59" s="29"/>
      <c r="J59" s="29"/>
      <c r="K59" s="29"/>
      <c r="L59" s="29"/>
    </row>
    <row r="60">
      <c r="A60" s="32"/>
      <c r="B60" s="32"/>
      <c r="C60" s="49" t="s">
        <v>102</v>
      </c>
      <c r="D60" s="34"/>
      <c r="E60" s="67" t="s">
        <v>100</v>
      </c>
      <c r="F60" s="58" t="s">
        <v>103</v>
      </c>
      <c r="G60" s="30"/>
      <c r="H60" s="51" t="s">
        <v>24</v>
      </c>
      <c r="I60" s="29"/>
      <c r="J60" s="30"/>
      <c r="K60" s="30"/>
      <c r="L60" s="29"/>
    </row>
    <row r="61">
      <c r="A61" s="32"/>
      <c r="B61" s="32"/>
      <c r="C61" s="46" t="s">
        <v>104</v>
      </c>
      <c r="D61" s="34"/>
      <c r="E61" s="34"/>
      <c r="F61" s="56" t="s">
        <v>105</v>
      </c>
      <c r="G61" s="30"/>
      <c r="H61" s="51" t="s">
        <v>24</v>
      </c>
      <c r="I61" s="30"/>
      <c r="J61" s="30"/>
      <c r="K61" s="30"/>
      <c r="L61" s="30"/>
    </row>
    <row r="62">
      <c r="A62" s="37"/>
      <c r="B62" s="37"/>
      <c r="C62" s="68" t="s">
        <v>106</v>
      </c>
      <c r="D62" s="69"/>
      <c r="E62" s="69"/>
      <c r="F62" s="70" t="s">
        <v>107</v>
      </c>
      <c r="G62" s="30"/>
      <c r="H62" s="51" t="s">
        <v>24</v>
      </c>
      <c r="I62" s="30"/>
      <c r="J62" s="30"/>
      <c r="K62" s="30"/>
      <c r="L62" s="30"/>
    </row>
    <row r="63">
      <c r="A63" s="71" t="s">
        <v>108</v>
      </c>
      <c r="B63" s="72" t="s">
        <v>109</v>
      </c>
      <c r="C63" s="73" t="s">
        <v>110</v>
      </c>
      <c r="D63" s="74"/>
      <c r="E63" s="74"/>
      <c r="F63" s="75"/>
      <c r="G63" s="30"/>
      <c r="H63" s="51" t="s">
        <v>24</v>
      </c>
      <c r="I63" s="30"/>
      <c r="J63" s="30"/>
      <c r="K63" s="30"/>
      <c r="L63" s="30"/>
    </row>
    <row r="64">
      <c r="A64" s="32"/>
      <c r="B64" s="32"/>
      <c r="C64" s="77" t="s">
        <v>112</v>
      </c>
      <c r="D64" s="78"/>
      <c r="E64" s="78"/>
      <c r="F64" s="79"/>
      <c r="G64" s="30"/>
      <c r="H64" s="51" t="s">
        <v>24</v>
      </c>
      <c r="I64" s="30"/>
      <c r="J64" s="30"/>
      <c r="K64" s="30"/>
      <c r="L64" s="30"/>
    </row>
    <row r="65">
      <c r="A65" s="32"/>
      <c r="B65" s="32"/>
      <c r="C65" s="80" t="s">
        <v>113</v>
      </c>
      <c r="D65" s="78"/>
      <c r="E65" s="81"/>
      <c r="F65" s="183" t="s">
        <v>38</v>
      </c>
      <c r="G65" s="30"/>
      <c r="H65" s="51" t="s">
        <v>24</v>
      </c>
      <c r="I65" s="30"/>
      <c r="J65" s="30"/>
      <c r="K65" s="30"/>
      <c r="L65" s="30"/>
    </row>
    <row r="66">
      <c r="A66" s="32"/>
      <c r="B66" s="32"/>
      <c r="C66" s="83" t="s">
        <v>114</v>
      </c>
      <c r="D66" s="78"/>
      <c r="E66" s="184" t="s">
        <v>115</v>
      </c>
      <c r="F66" s="79"/>
      <c r="G66" s="30"/>
      <c r="H66" s="51" t="s">
        <v>24</v>
      </c>
      <c r="I66" s="30"/>
      <c r="J66" s="30"/>
      <c r="K66" s="30"/>
      <c r="L66" s="30"/>
    </row>
    <row r="67">
      <c r="A67" s="32"/>
      <c r="B67" s="32"/>
      <c r="C67" s="85" t="s">
        <v>116</v>
      </c>
      <c r="D67" s="78"/>
      <c r="E67" s="78"/>
      <c r="F67" s="89" t="s">
        <v>117</v>
      </c>
      <c r="G67" s="30"/>
      <c r="H67" s="51" t="s">
        <v>24</v>
      </c>
      <c r="I67" s="30"/>
      <c r="J67" s="30"/>
      <c r="K67" s="30"/>
      <c r="L67" s="30"/>
    </row>
    <row r="68">
      <c r="A68" s="32"/>
      <c r="B68" s="32"/>
      <c r="C68" s="87" t="s">
        <v>118</v>
      </c>
      <c r="D68" s="78"/>
      <c r="E68" s="88" t="s">
        <v>312</v>
      </c>
      <c r="F68" s="89"/>
      <c r="G68" s="30"/>
      <c r="H68" s="51" t="s">
        <v>24</v>
      </c>
      <c r="I68" s="30"/>
      <c r="J68" s="30"/>
      <c r="K68" s="30"/>
      <c r="L68" s="30"/>
    </row>
    <row r="69">
      <c r="A69" s="32"/>
      <c r="B69" s="32"/>
      <c r="C69" s="90" t="s">
        <v>120</v>
      </c>
      <c r="D69" s="78"/>
      <c r="E69" s="184" t="s">
        <v>121</v>
      </c>
      <c r="F69" s="89" t="s">
        <v>122</v>
      </c>
      <c r="G69" s="30"/>
      <c r="H69" s="51" t="s">
        <v>24</v>
      </c>
      <c r="I69" s="30"/>
      <c r="J69" s="30"/>
      <c r="K69" s="30"/>
      <c r="L69" s="30"/>
    </row>
    <row r="70">
      <c r="A70" s="32"/>
      <c r="B70" s="32"/>
      <c r="C70" s="91" t="s">
        <v>123</v>
      </c>
      <c r="D70" s="78"/>
      <c r="E70" s="78"/>
      <c r="F70" s="89" t="s">
        <v>124</v>
      </c>
      <c r="G70" s="30"/>
      <c r="H70" s="51" t="s">
        <v>24</v>
      </c>
      <c r="I70" s="30"/>
      <c r="J70" s="30"/>
      <c r="K70" s="30"/>
      <c r="L70" s="30"/>
    </row>
    <row r="71">
      <c r="A71" s="32"/>
      <c r="B71" s="32"/>
      <c r="C71" s="92" t="s">
        <v>125</v>
      </c>
      <c r="D71" s="78"/>
      <c r="E71" s="78"/>
      <c r="F71" s="89" t="s">
        <v>126</v>
      </c>
      <c r="G71" s="30"/>
      <c r="H71" s="51" t="s">
        <v>24</v>
      </c>
      <c r="I71" s="30"/>
      <c r="J71" s="30"/>
      <c r="K71" s="30"/>
      <c r="L71" s="30"/>
    </row>
    <row r="72">
      <c r="A72" s="32"/>
      <c r="B72" s="32"/>
      <c r="C72" s="77" t="s">
        <v>127</v>
      </c>
      <c r="D72" s="78"/>
      <c r="E72" s="78"/>
      <c r="F72" s="89" t="s">
        <v>128</v>
      </c>
      <c r="G72" s="30"/>
      <c r="H72" s="51" t="s">
        <v>24</v>
      </c>
      <c r="I72" s="30"/>
      <c r="J72" s="30"/>
      <c r="K72" s="29"/>
      <c r="L72" s="30"/>
    </row>
    <row r="73">
      <c r="A73" s="32"/>
      <c r="B73" s="32"/>
      <c r="C73" s="93" t="s">
        <v>129</v>
      </c>
      <c r="D73" s="78"/>
      <c r="E73" s="185" t="s">
        <v>313</v>
      </c>
      <c r="F73" s="79"/>
      <c r="G73" s="30"/>
      <c r="H73" s="51" t="s">
        <v>24</v>
      </c>
      <c r="I73" s="30"/>
      <c r="J73" s="30"/>
      <c r="K73" s="30"/>
      <c r="L73" s="30"/>
    </row>
    <row r="74">
      <c r="A74" s="32"/>
      <c r="B74" s="32"/>
      <c r="C74" s="95" t="s">
        <v>131</v>
      </c>
      <c r="D74" s="78"/>
      <c r="E74" s="78"/>
      <c r="F74" s="79"/>
      <c r="G74" s="30"/>
      <c r="H74" s="51" t="s">
        <v>24</v>
      </c>
      <c r="I74" s="30"/>
      <c r="J74" s="30"/>
      <c r="K74" s="30"/>
      <c r="L74" s="30"/>
    </row>
    <row r="75">
      <c r="A75" s="32"/>
      <c r="B75" s="32"/>
      <c r="C75" s="96" t="s">
        <v>132</v>
      </c>
      <c r="D75" s="78"/>
      <c r="E75" s="78"/>
      <c r="F75" s="97" t="s">
        <v>133</v>
      </c>
      <c r="G75" s="29"/>
      <c r="H75" s="51" t="s">
        <v>24</v>
      </c>
      <c r="I75" s="29"/>
      <c r="J75" s="29"/>
      <c r="K75" s="29"/>
      <c r="L75" s="29"/>
    </row>
    <row r="76">
      <c r="A76" s="32"/>
      <c r="B76" s="32"/>
      <c r="C76" s="98" t="s">
        <v>134</v>
      </c>
      <c r="D76" s="78"/>
      <c r="E76" s="186" t="s">
        <v>135</v>
      </c>
      <c r="F76" s="97" t="s">
        <v>136</v>
      </c>
      <c r="G76" s="29"/>
      <c r="H76" s="51" t="s">
        <v>24</v>
      </c>
      <c r="I76" s="29"/>
      <c r="J76" s="29"/>
      <c r="K76" s="29"/>
      <c r="L76" s="29"/>
    </row>
    <row r="77">
      <c r="A77" s="32"/>
      <c r="B77" s="32"/>
      <c r="C77" s="92" t="s">
        <v>137</v>
      </c>
      <c r="D77" s="78"/>
      <c r="E77" s="78"/>
      <c r="F77" s="79"/>
      <c r="G77" s="29"/>
      <c r="H77" s="51" t="s">
        <v>24</v>
      </c>
      <c r="I77" s="29"/>
      <c r="J77" s="29"/>
      <c r="K77" s="29"/>
      <c r="L77" s="29"/>
    </row>
    <row r="78">
      <c r="A78" s="32"/>
      <c r="B78" s="32"/>
      <c r="C78" s="92" t="s">
        <v>138</v>
      </c>
      <c r="D78" s="78"/>
      <c r="E78" s="78"/>
      <c r="F78" s="79"/>
      <c r="G78" s="29"/>
      <c r="H78" s="29"/>
      <c r="I78" s="29"/>
      <c r="J78" s="29"/>
      <c r="K78" s="29"/>
      <c r="L78" s="29"/>
    </row>
    <row r="79">
      <c r="A79" s="32"/>
      <c r="B79" s="37"/>
      <c r="C79" s="101" t="s">
        <v>139</v>
      </c>
      <c r="D79" s="78"/>
      <c r="E79" s="78"/>
      <c r="F79" s="79"/>
      <c r="G79" s="29"/>
      <c r="H79" s="29"/>
      <c r="I79" s="29"/>
      <c r="J79" s="29"/>
      <c r="K79" s="29"/>
      <c r="L79" s="29"/>
    </row>
    <row r="80">
      <c r="A80" s="32"/>
      <c r="B80" s="102" t="s">
        <v>140</v>
      </c>
      <c r="C80" s="103" t="s">
        <v>141</v>
      </c>
      <c r="D80" s="186" t="s">
        <v>142</v>
      </c>
      <c r="E80" s="187" t="s">
        <v>314</v>
      </c>
      <c r="F80" s="79"/>
      <c r="G80" s="29"/>
      <c r="H80" s="105" t="s">
        <v>144</v>
      </c>
      <c r="I80" s="105"/>
      <c r="J80" s="29"/>
      <c r="K80" s="105"/>
      <c r="L80" s="105" t="s">
        <v>144</v>
      </c>
    </row>
    <row r="81">
      <c r="A81" s="32"/>
      <c r="B81" s="32"/>
      <c r="C81" s="106" t="s">
        <v>145</v>
      </c>
      <c r="D81" s="78"/>
      <c r="E81" s="78"/>
      <c r="F81" s="89"/>
      <c r="G81" s="29"/>
      <c r="H81" s="29"/>
      <c r="I81" s="29"/>
      <c r="J81" s="29"/>
      <c r="K81" s="29"/>
      <c r="L81" s="29"/>
    </row>
    <row r="82">
      <c r="A82" s="32"/>
      <c r="B82" s="32"/>
      <c r="C82" s="93" t="s">
        <v>146</v>
      </c>
      <c r="D82" s="78"/>
      <c r="E82" s="78"/>
      <c r="F82" s="89" t="s">
        <v>147</v>
      </c>
      <c r="G82" s="29"/>
      <c r="H82" s="29"/>
      <c r="I82" s="29"/>
      <c r="J82" s="29"/>
      <c r="K82" s="29"/>
      <c r="L82" s="29"/>
    </row>
    <row r="83">
      <c r="A83" s="32"/>
      <c r="B83" s="32"/>
      <c r="C83" s="107" t="s">
        <v>148</v>
      </c>
      <c r="D83" s="78"/>
      <c r="E83" s="78"/>
      <c r="F83" s="89" t="s">
        <v>149</v>
      </c>
      <c r="G83" s="29"/>
      <c r="H83" s="29"/>
      <c r="I83" s="29"/>
      <c r="J83" s="29"/>
      <c r="K83" s="29"/>
      <c r="L83" s="29"/>
    </row>
    <row r="84">
      <c r="A84" s="32"/>
      <c r="B84" s="32"/>
      <c r="C84" s="108" t="s">
        <v>150</v>
      </c>
      <c r="D84" s="78"/>
      <c r="E84" s="78"/>
      <c r="F84" s="89" t="s">
        <v>149</v>
      </c>
      <c r="G84" s="30"/>
      <c r="H84" s="30"/>
      <c r="I84" s="29"/>
      <c r="J84" s="30"/>
      <c r="K84" s="30"/>
      <c r="L84" s="29"/>
    </row>
    <row r="85">
      <c r="A85" s="32"/>
      <c r="B85" s="32"/>
      <c r="C85" s="109" t="s">
        <v>151</v>
      </c>
      <c r="D85" s="78"/>
      <c r="E85" s="186" t="s">
        <v>152</v>
      </c>
      <c r="F85" s="183" t="s">
        <v>153</v>
      </c>
      <c r="G85" s="30"/>
      <c r="H85" s="30"/>
      <c r="I85" s="29"/>
      <c r="J85" s="30"/>
      <c r="K85" s="30"/>
      <c r="L85" s="29"/>
    </row>
    <row r="86">
      <c r="A86" s="32"/>
      <c r="B86" s="32"/>
      <c r="C86" s="110" t="s">
        <v>154</v>
      </c>
      <c r="D86" s="78"/>
      <c r="E86" s="78"/>
      <c r="F86" s="79"/>
      <c r="G86" s="30"/>
      <c r="H86" s="30"/>
      <c r="I86" s="30"/>
      <c r="J86" s="30"/>
      <c r="K86" s="30"/>
      <c r="L86" s="30"/>
    </row>
    <row r="87">
      <c r="A87" s="32"/>
      <c r="B87" s="32"/>
      <c r="C87" s="111" t="s">
        <v>155</v>
      </c>
      <c r="D87" s="78"/>
      <c r="E87" s="78"/>
      <c r="F87" s="97" t="s">
        <v>156</v>
      </c>
      <c r="G87" s="30"/>
      <c r="H87" s="30"/>
      <c r="I87" s="30"/>
      <c r="J87" s="30"/>
      <c r="K87" s="30"/>
      <c r="L87" s="30"/>
    </row>
    <row r="88">
      <c r="A88" s="32"/>
      <c r="B88" s="32"/>
      <c r="C88" s="112" t="s">
        <v>157</v>
      </c>
      <c r="D88" s="78"/>
      <c r="E88" s="184" t="s">
        <v>158</v>
      </c>
      <c r="F88" s="79"/>
      <c r="G88" s="30"/>
      <c r="H88" s="30"/>
      <c r="I88" s="30"/>
      <c r="J88" s="30"/>
      <c r="K88" s="30"/>
      <c r="L88" s="30"/>
    </row>
    <row r="89">
      <c r="A89" s="32"/>
      <c r="B89" s="32"/>
      <c r="C89" s="83" t="s">
        <v>159</v>
      </c>
      <c r="D89" s="78"/>
      <c r="E89" s="186" t="s">
        <v>160</v>
      </c>
      <c r="F89" s="79"/>
      <c r="G89" s="30"/>
      <c r="H89" s="30"/>
      <c r="I89" s="30"/>
      <c r="J89" s="30"/>
      <c r="K89" s="30"/>
      <c r="L89" s="30"/>
    </row>
    <row r="90">
      <c r="A90" s="32"/>
      <c r="B90" s="32"/>
      <c r="C90" s="93" t="s">
        <v>161</v>
      </c>
      <c r="D90" s="78"/>
      <c r="E90" s="78"/>
      <c r="F90" s="79"/>
      <c r="G90" s="30"/>
      <c r="H90" s="30"/>
      <c r="I90" s="30"/>
      <c r="J90" s="30"/>
      <c r="K90" s="30"/>
      <c r="L90" s="30"/>
    </row>
    <row r="91">
      <c r="A91" s="32"/>
      <c r="B91" s="32"/>
      <c r="C91" s="93" t="s">
        <v>162</v>
      </c>
      <c r="D91" s="78"/>
      <c r="E91" s="186" t="s">
        <v>163</v>
      </c>
      <c r="F91" s="113"/>
      <c r="G91" s="30"/>
      <c r="H91" s="30"/>
      <c r="I91" s="30"/>
      <c r="J91" s="30"/>
      <c r="K91" s="30"/>
      <c r="L91" s="30"/>
    </row>
    <row r="92">
      <c r="A92" s="32"/>
      <c r="B92" s="32"/>
      <c r="C92" s="106" t="s">
        <v>164</v>
      </c>
      <c r="D92" s="78"/>
      <c r="E92" s="78"/>
      <c r="F92" s="114" t="s">
        <v>165</v>
      </c>
      <c r="G92" s="30"/>
      <c r="H92" s="30"/>
      <c r="I92" s="30"/>
      <c r="J92" s="30"/>
      <c r="K92" s="30"/>
      <c r="L92" s="30"/>
    </row>
    <row r="93">
      <c r="A93" s="32"/>
      <c r="B93" s="32"/>
      <c r="C93" s="106" t="s">
        <v>166</v>
      </c>
      <c r="D93" s="78"/>
      <c r="E93" s="78"/>
      <c r="F93" s="183" t="s">
        <v>167</v>
      </c>
      <c r="G93" s="30"/>
      <c r="H93" s="30"/>
      <c r="I93" s="30"/>
      <c r="J93" s="30"/>
      <c r="K93" s="30"/>
      <c r="L93" s="30"/>
    </row>
    <row r="94">
      <c r="A94" s="32"/>
      <c r="B94" s="37"/>
      <c r="C94" s="93" t="s">
        <v>168</v>
      </c>
      <c r="D94" s="78"/>
      <c r="E94" s="78"/>
      <c r="F94" s="79"/>
      <c r="G94" s="30"/>
      <c r="H94" s="30"/>
      <c r="I94" s="30"/>
      <c r="J94" s="30"/>
      <c r="K94" s="30"/>
      <c r="L94" s="30"/>
    </row>
    <row r="95">
      <c r="A95" s="32"/>
      <c r="B95" s="115" t="s">
        <v>169</v>
      </c>
      <c r="C95" s="85" t="s">
        <v>141</v>
      </c>
      <c r="D95" s="78"/>
      <c r="E95" s="78"/>
      <c r="F95" s="89" t="s">
        <v>170</v>
      </c>
      <c r="G95" s="30"/>
      <c r="H95" s="30"/>
      <c r="I95" s="30"/>
      <c r="J95" s="30"/>
      <c r="K95" s="30"/>
      <c r="L95" s="30"/>
    </row>
    <row r="96">
      <c r="A96" s="32"/>
      <c r="B96" s="32"/>
      <c r="C96" s="85" t="s">
        <v>171</v>
      </c>
      <c r="D96" s="186" t="s">
        <v>172</v>
      </c>
      <c r="E96" s="78"/>
      <c r="F96" s="183" t="s">
        <v>173</v>
      </c>
      <c r="G96" s="30"/>
      <c r="H96" s="30" t="s">
        <v>174</v>
      </c>
      <c r="I96" s="30"/>
      <c r="J96" s="30"/>
      <c r="K96" s="30"/>
      <c r="L96" s="30" t="s">
        <v>174</v>
      </c>
    </row>
    <row r="97">
      <c r="A97" s="32"/>
      <c r="B97" s="32"/>
      <c r="C97" s="116" t="s">
        <v>315</v>
      </c>
      <c r="D97" s="78"/>
      <c r="E97" s="78"/>
      <c r="F97" s="117" t="s">
        <v>176</v>
      </c>
      <c r="G97" s="30"/>
      <c r="H97" s="30"/>
      <c r="I97" s="30"/>
      <c r="J97" s="30"/>
      <c r="K97" s="30"/>
      <c r="L97" s="30"/>
    </row>
    <row r="98">
      <c r="A98" s="32"/>
      <c r="B98" s="37"/>
      <c r="C98" s="77" t="s">
        <v>177</v>
      </c>
      <c r="D98" s="78"/>
      <c r="E98" s="78"/>
      <c r="F98" s="79"/>
      <c r="G98" s="30"/>
      <c r="H98" s="30"/>
      <c r="I98" s="30"/>
      <c r="J98" s="30"/>
      <c r="K98" s="30"/>
      <c r="L98" s="30"/>
    </row>
    <row r="99">
      <c r="A99" s="32"/>
      <c r="B99" s="102" t="s">
        <v>178</v>
      </c>
      <c r="C99" s="93" t="s">
        <v>179</v>
      </c>
      <c r="D99" s="78"/>
      <c r="E99" s="78"/>
      <c r="F99" s="79"/>
      <c r="G99" s="30"/>
      <c r="H99" s="30" t="s">
        <v>24</v>
      </c>
      <c r="I99" s="30"/>
      <c r="J99" s="30"/>
      <c r="K99" s="30"/>
      <c r="L99" s="30"/>
    </row>
    <row r="100">
      <c r="A100" s="32"/>
      <c r="B100" s="32"/>
      <c r="C100" s="93" t="s">
        <v>141</v>
      </c>
      <c r="D100" s="78"/>
      <c r="E100" s="186" t="s">
        <v>180</v>
      </c>
      <c r="F100" s="79"/>
      <c r="G100" s="30"/>
      <c r="H100" s="30" t="s">
        <v>24</v>
      </c>
      <c r="I100" s="30"/>
      <c r="J100" s="30"/>
      <c r="K100" s="30"/>
      <c r="L100" s="30"/>
    </row>
    <row r="101">
      <c r="A101" s="32"/>
      <c r="B101" s="32"/>
      <c r="C101" s="106" t="s">
        <v>181</v>
      </c>
      <c r="D101" s="78"/>
      <c r="E101" s="78"/>
      <c r="F101" s="89" t="s">
        <v>182</v>
      </c>
      <c r="G101" s="30"/>
      <c r="H101" s="30"/>
      <c r="I101" s="30"/>
      <c r="J101" s="30"/>
      <c r="K101" s="30"/>
      <c r="L101" s="30"/>
    </row>
    <row r="102">
      <c r="A102" s="32"/>
      <c r="B102" s="32"/>
      <c r="C102" s="93" t="s">
        <v>183</v>
      </c>
      <c r="D102" s="78"/>
      <c r="E102" s="78"/>
      <c r="F102" s="79"/>
      <c r="G102" s="30"/>
      <c r="H102" s="30" t="s">
        <v>24</v>
      </c>
      <c r="I102" s="30"/>
      <c r="J102" s="30"/>
      <c r="K102" s="30"/>
      <c r="L102" s="30"/>
    </row>
    <row r="103">
      <c r="A103" s="32"/>
      <c r="B103" s="32"/>
      <c r="C103" s="93" t="s">
        <v>184</v>
      </c>
      <c r="D103" s="78"/>
      <c r="E103" s="78"/>
      <c r="F103" s="79"/>
      <c r="G103" s="30"/>
      <c r="H103" s="30" t="s">
        <v>24</v>
      </c>
      <c r="I103" s="30"/>
      <c r="J103" s="30"/>
      <c r="K103" s="30"/>
      <c r="L103" s="30"/>
    </row>
    <row r="104">
      <c r="A104" s="32"/>
      <c r="B104" s="32"/>
      <c r="C104" s="106" t="s">
        <v>185</v>
      </c>
      <c r="D104" s="78"/>
      <c r="E104" s="78"/>
      <c r="F104" s="89" t="s">
        <v>186</v>
      </c>
      <c r="G104" s="30"/>
      <c r="H104" s="30" t="s">
        <v>24</v>
      </c>
      <c r="I104" s="30"/>
      <c r="J104" s="30"/>
      <c r="K104" s="30"/>
      <c r="L104" s="30"/>
    </row>
    <row r="105">
      <c r="A105" s="32"/>
      <c r="B105" s="32"/>
      <c r="C105" s="87" t="s">
        <v>187</v>
      </c>
      <c r="D105" s="78"/>
      <c r="E105" s="78"/>
      <c r="F105" s="79"/>
      <c r="G105" s="30"/>
      <c r="H105" s="30"/>
      <c r="I105" s="30"/>
      <c r="J105" s="30"/>
      <c r="K105" s="30"/>
      <c r="L105" s="30"/>
    </row>
    <row r="106">
      <c r="A106" s="32"/>
      <c r="B106" s="32"/>
      <c r="C106" s="87" t="s">
        <v>188</v>
      </c>
      <c r="D106" s="78"/>
      <c r="E106" s="78"/>
      <c r="F106" s="183" t="s">
        <v>189</v>
      </c>
      <c r="G106" s="30"/>
      <c r="H106" s="30" t="s">
        <v>24</v>
      </c>
      <c r="I106" s="30"/>
      <c r="J106" s="30"/>
      <c r="K106" s="30"/>
      <c r="L106" s="30"/>
    </row>
    <row r="107">
      <c r="A107" s="32"/>
      <c r="B107" s="32"/>
      <c r="C107" s="77" t="s">
        <v>190</v>
      </c>
      <c r="D107" s="78"/>
      <c r="E107" s="78"/>
      <c r="F107" s="79"/>
      <c r="G107" s="29"/>
      <c r="H107" s="30" t="s">
        <v>24</v>
      </c>
      <c r="I107" s="30"/>
      <c r="J107" s="29"/>
      <c r="K107" s="29"/>
      <c r="L107" s="30"/>
    </row>
    <row r="108">
      <c r="A108" s="32"/>
      <c r="B108" s="32"/>
      <c r="C108" s="106" t="s">
        <v>191</v>
      </c>
      <c r="D108" s="78"/>
      <c r="E108" s="78"/>
      <c r="F108" s="89" t="s">
        <v>192</v>
      </c>
      <c r="G108" s="30"/>
      <c r="H108" s="30" t="s">
        <v>24</v>
      </c>
      <c r="I108" s="30"/>
      <c r="J108" s="30"/>
      <c r="K108" s="30"/>
      <c r="L108" s="30"/>
    </row>
    <row r="109">
      <c r="A109" s="32"/>
      <c r="B109" s="32"/>
      <c r="C109" s="106" t="s">
        <v>193</v>
      </c>
      <c r="D109" s="78"/>
      <c r="E109" s="78"/>
      <c r="F109" s="79"/>
      <c r="G109" s="30"/>
      <c r="H109" s="30" t="s">
        <v>24</v>
      </c>
      <c r="I109" s="30"/>
      <c r="J109" s="30"/>
      <c r="K109" s="30"/>
      <c r="L109" s="30"/>
    </row>
    <row r="110">
      <c r="A110" s="32"/>
      <c r="B110" s="32"/>
      <c r="C110" s="93" t="s">
        <v>194</v>
      </c>
      <c r="D110" s="78"/>
      <c r="E110" s="78"/>
      <c r="F110" s="79"/>
      <c r="G110" s="30"/>
      <c r="H110" s="30" t="s">
        <v>24</v>
      </c>
      <c r="I110" s="30"/>
      <c r="J110" s="30"/>
      <c r="K110" s="30"/>
      <c r="L110" s="30"/>
    </row>
    <row r="111">
      <c r="A111" s="32"/>
      <c r="B111" s="32"/>
      <c r="C111" s="103" t="s">
        <v>195</v>
      </c>
      <c r="D111" s="78"/>
      <c r="E111" s="78"/>
      <c r="F111" s="89" t="s">
        <v>196</v>
      </c>
      <c r="G111" s="30"/>
      <c r="H111" s="30" t="s">
        <v>24</v>
      </c>
      <c r="I111" s="30"/>
      <c r="J111" s="30"/>
      <c r="K111" s="30"/>
      <c r="L111" s="30"/>
    </row>
    <row r="112">
      <c r="A112" s="32"/>
      <c r="B112" s="32"/>
      <c r="C112" s="93" t="s">
        <v>197</v>
      </c>
      <c r="D112" s="78"/>
      <c r="E112" s="78"/>
      <c r="F112" s="89" t="s">
        <v>196</v>
      </c>
      <c r="G112" s="30"/>
      <c r="H112" s="30" t="s">
        <v>24</v>
      </c>
      <c r="I112" s="30"/>
      <c r="J112" s="30"/>
      <c r="K112" s="30"/>
      <c r="L112" s="30"/>
    </row>
    <row r="113">
      <c r="A113" s="32"/>
      <c r="B113" s="32"/>
      <c r="C113" s="93" t="s">
        <v>198</v>
      </c>
      <c r="D113" s="78"/>
      <c r="E113" s="78"/>
      <c r="F113" s="89" t="s">
        <v>196</v>
      </c>
      <c r="G113" s="30"/>
      <c r="H113" s="30" t="s">
        <v>24</v>
      </c>
      <c r="I113" s="30"/>
      <c r="J113" s="30"/>
      <c r="K113" s="30"/>
      <c r="L113" s="30"/>
    </row>
    <row r="114">
      <c r="A114" s="32"/>
      <c r="B114" s="32"/>
      <c r="C114" s="118" t="s">
        <v>199</v>
      </c>
      <c r="D114" s="78"/>
      <c r="E114" s="78"/>
      <c r="F114" s="183" t="s">
        <v>200</v>
      </c>
      <c r="G114" s="29"/>
      <c r="H114" s="30" t="s">
        <v>24</v>
      </c>
      <c r="I114" s="29"/>
      <c r="J114" s="29"/>
      <c r="K114" s="29"/>
      <c r="L114" s="29"/>
    </row>
    <row r="115">
      <c r="A115" s="32"/>
      <c r="B115" s="32"/>
      <c r="C115" s="106" t="s">
        <v>201</v>
      </c>
      <c r="D115" s="78"/>
      <c r="E115" s="78"/>
      <c r="F115" s="89" t="s">
        <v>202</v>
      </c>
      <c r="G115" s="30"/>
      <c r="H115" s="30" t="s">
        <v>24</v>
      </c>
      <c r="I115" s="29"/>
      <c r="J115" s="30"/>
      <c r="K115" s="30"/>
      <c r="L115" s="29"/>
    </row>
    <row r="116">
      <c r="A116" s="32"/>
      <c r="B116" s="32"/>
      <c r="C116" s="119" t="s">
        <v>203</v>
      </c>
      <c r="D116" s="78"/>
      <c r="E116" s="78"/>
      <c r="F116" s="89" t="s">
        <v>124</v>
      </c>
      <c r="G116" s="30"/>
      <c r="H116" s="30" t="s">
        <v>24</v>
      </c>
      <c r="I116" s="29"/>
      <c r="J116" s="30"/>
      <c r="K116" s="30"/>
      <c r="L116" s="29"/>
    </row>
    <row r="117">
      <c r="A117" s="32"/>
      <c r="B117" s="32"/>
      <c r="C117" s="120" t="s">
        <v>316</v>
      </c>
      <c r="D117" s="78"/>
      <c r="E117" s="78"/>
      <c r="F117" s="89" t="s">
        <v>124</v>
      </c>
      <c r="G117" s="30"/>
      <c r="H117" s="30" t="s">
        <v>24</v>
      </c>
      <c r="I117" s="29"/>
      <c r="J117" s="30"/>
      <c r="K117" s="30"/>
      <c r="L117" s="29"/>
    </row>
    <row r="118">
      <c r="A118" s="32"/>
      <c r="B118" s="37"/>
      <c r="C118" s="121" t="s">
        <v>205</v>
      </c>
      <c r="D118" s="122"/>
      <c r="E118" s="186" t="s">
        <v>206</v>
      </c>
      <c r="F118" s="89" t="s">
        <v>207</v>
      </c>
      <c r="G118" s="30"/>
      <c r="H118" s="30" t="s">
        <v>24</v>
      </c>
      <c r="I118" s="29"/>
      <c r="J118" s="30"/>
      <c r="K118" s="30"/>
      <c r="L118" s="29"/>
    </row>
    <row r="119">
      <c r="A119" s="32"/>
      <c r="B119" s="102" t="s">
        <v>208</v>
      </c>
      <c r="C119" s="106" t="s">
        <v>209</v>
      </c>
      <c r="D119" s="78"/>
      <c r="E119" s="78"/>
      <c r="F119" s="79"/>
      <c r="G119" s="30"/>
      <c r="H119" s="30" t="s">
        <v>24</v>
      </c>
      <c r="I119" s="29"/>
      <c r="J119" s="30"/>
      <c r="K119" s="30"/>
      <c r="L119" s="29"/>
    </row>
    <row r="120">
      <c r="A120" s="32"/>
      <c r="B120" s="32"/>
      <c r="C120" s="123" t="s">
        <v>210</v>
      </c>
      <c r="D120" s="78"/>
      <c r="E120" s="78"/>
      <c r="F120" s="89" t="s">
        <v>211</v>
      </c>
      <c r="G120" s="30"/>
      <c r="H120" s="30" t="s">
        <v>24</v>
      </c>
      <c r="I120" s="29"/>
      <c r="J120" s="30"/>
      <c r="K120" s="30"/>
      <c r="L120" s="29"/>
    </row>
    <row r="121">
      <c r="A121" s="32"/>
      <c r="B121" s="32"/>
      <c r="C121" s="124" t="s">
        <v>212</v>
      </c>
      <c r="D121" s="78"/>
      <c r="E121" s="78"/>
      <c r="F121" s="79"/>
      <c r="G121" s="30"/>
      <c r="H121" s="30" t="s">
        <v>24</v>
      </c>
      <c r="I121" s="29"/>
      <c r="J121" s="30"/>
      <c r="K121" s="29"/>
      <c r="L121" s="29"/>
    </row>
    <row r="122">
      <c r="A122" s="32"/>
      <c r="B122" s="32"/>
      <c r="C122" s="125" t="s">
        <v>213</v>
      </c>
      <c r="D122" s="78"/>
      <c r="E122" s="78"/>
      <c r="F122" s="79"/>
      <c r="G122" s="30"/>
      <c r="H122" s="30" t="s">
        <v>24</v>
      </c>
      <c r="I122" s="29"/>
      <c r="J122" s="30"/>
      <c r="K122" s="30"/>
      <c r="L122" s="29"/>
    </row>
    <row r="123">
      <c r="A123" s="32"/>
      <c r="B123" s="32"/>
      <c r="C123" s="124" t="s">
        <v>214</v>
      </c>
      <c r="D123" s="78"/>
      <c r="E123" s="78"/>
      <c r="F123" s="79"/>
      <c r="G123" s="30"/>
      <c r="H123" s="30" t="s">
        <v>24</v>
      </c>
      <c r="I123" s="29"/>
      <c r="J123" s="30"/>
      <c r="K123" s="30"/>
      <c r="L123" s="29"/>
    </row>
    <row r="124">
      <c r="A124" s="32"/>
      <c r="B124" s="37"/>
      <c r="C124" s="126" t="s">
        <v>215</v>
      </c>
      <c r="D124" s="78"/>
      <c r="E124" s="78"/>
      <c r="F124" s="188" t="s">
        <v>317</v>
      </c>
      <c r="G124" s="30"/>
      <c r="H124" s="30"/>
      <c r="I124" s="29"/>
      <c r="J124" s="30"/>
      <c r="K124" s="30"/>
      <c r="L124" s="29"/>
    </row>
    <row r="125">
      <c r="A125" s="32"/>
      <c r="B125" s="115" t="s">
        <v>217</v>
      </c>
      <c r="C125" s="124" t="s">
        <v>218</v>
      </c>
      <c r="D125" s="78"/>
      <c r="E125" s="189" t="s">
        <v>219</v>
      </c>
      <c r="F125" s="79"/>
      <c r="G125" s="30"/>
      <c r="H125" s="30"/>
      <c r="I125" s="30"/>
      <c r="J125" s="30"/>
      <c r="K125" s="30"/>
      <c r="L125" s="30"/>
    </row>
    <row r="126">
      <c r="A126" s="32"/>
      <c r="B126" s="32"/>
      <c r="C126" s="124" t="s">
        <v>220</v>
      </c>
      <c r="D126" s="78"/>
      <c r="E126" s="78"/>
      <c r="F126" s="79"/>
      <c r="G126" s="30"/>
      <c r="H126" s="30" t="s">
        <v>24</v>
      </c>
      <c r="I126" s="30"/>
      <c r="J126" s="30"/>
      <c r="K126" s="30"/>
      <c r="L126" s="30"/>
    </row>
    <row r="127">
      <c r="A127" s="32"/>
      <c r="B127" s="32"/>
      <c r="C127" s="129" t="s">
        <v>221</v>
      </c>
      <c r="D127" s="78"/>
      <c r="E127" s="78"/>
      <c r="F127" s="89" t="s">
        <v>222</v>
      </c>
      <c r="G127" s="30"/>
      <c r="H127" s="30" t="s">
        <v>24</v>
      </c>
      <c r="I127" s="30"/>
      <c r="J127" s="30"/>
      <c r="K127" s="30"/>
      <c r="L127" s="30"/>
    </row>
    <row r="128">
      <c r="A128" s="32"/>
      <c r="B128" s="37"/>
      <c r="C128" s="124" t="s">
        <v>223</v>
      </c>
      <c r="D128" s="78"/>
      <c r="E128" s="78"/>
      <c r="F128" s="89" t="s">
        <v>224</v>
      </c>
      <c r="G128" s="30"/>
      <c r="H128" s="30" t="s">
        <v>24</v>
      </c>
      <c r="I128" s="30"/>
      <c r="J128" s="30"/>
      <c r="K128" s="30"/>
      <c r="L128" s="30"/>
    </row>
    <row r="129">
      <c r="A129" s="32"/>
      <c r="B129" s="115" t="s">
        <v>225</v>
      </c>
      <c r="C129" s="130" t="s">
        <v>226</v>
      </c>
      <c r="D129" s="78"/>
      <c r="E129" s="78"/>
      <c r="F129" s="190" t="s">
        <v>227</v>
      </c>
      <c r="G129" s="30"/>
      <c r="H129" s="30" t="s">
        <v>24</v>
      </c>
      <c r="I129" s="30"/>
      <c r="J129" s="30"/>
      <c r="K129" s="30"/>
      <c r="L129" s="30"/>
    </row>
    <row r="130">
      <c r="A130" s="32"/>
      <c r="B130" s="32"/>
      <c r="C130" s="132" t="s">
        <v>318</v>
      </c>
      <c r="D130" s="78"/>
      <c r="E130" s="78"/>
      <c r="F130" s="133"/>
      <c r="G130" s="30"/>
      <c r="H130" s="30" t="s">
        <v>24</v>
      </c>
      <c r="I130" s="30"/>
      <c r="J130" s="30"/>
      <c r="K130" s="30"/>
      <c r="L130" s="30"/>
    </row>
    <row r="131">
      <c r="A131" s="32"/>
      <c r="B131" s="32"/>
      <c r="C131" s="132" t="s">
        <v>229</v>
      </c>
      <c r="D131" s="78"/>
      <c r="E131" s="78"/>
      <c r="F131" s="134" t="s">
        <v>230</v>
      </c>
      <c r="G131" s="30"/>
      <c r="H131" s="30" t="s">
        <v>24</v>
      </c>
      <c r="I131" s="30"/>
      <c r="J131" s="30"/>
      <c r="K131" s="30"/>
      <c r="L131" s="30"/>
    </row>
    <row r="132">
      <c r="A132" s="32"/>
      <c r="B132" s="32"/>
      <c r="C132" s="132" t="s">
        <v>231</v>
      </c>
      <c r="D132" s="78"/>
      <c r="E132" s="78"/>
      <c r="F132" s="133"/>
      <c r="G132" s="30"/>
      <c r="H132" s="30" t="s">
        <v>24</v>
      </c>
      <c r="I132" s="30"/>
      <c r="J132" s="30"/>
      <c r="K132" s="30"/>
      <c r="L132" s="30"/>
    </row>
    <row r="133">
      <c r="A133" s="32"/>
      <c r="B133" s="32"/>
      <c r="C133" s="132" t="s">
        <v>232</v>
      </c>
      <c r="D133" s="78"/>
      <c r="E133" s="78"/>
      <c r="F133" s="135"/>
      <c r="G133" s="30"/>
      <c r="H133" s="30" t="s">
        <v>24</v>
      </c>
      <c r="I133" s="30"/>
      <c r="J133" s="30"/>
      <c r="K133" s="30"/>
      <c r="L133" s="30"/>
    </row>
    <row r="134">
      <c r="A134" s="32"/>
      <c r="B134" s="32"/>
      <c r="C134" s="132" t="s">
        <v>233</v>
      </c>
      <c r="D134" s="78"/>
      <c r="E134" s="78"/>
      <c r="F134" s="136" t="s">
        <v>234</v>
      </c>
      <c r="G134" s="30"/>
      <c r="H134" s="30" t="s">
        <v>24</v>
      </c>
      <c r="I134" s="30"/>
      <c r="J134" s="30"/>
      <c r="K134" s="30"/>
      <c r="L134" s="30"/>
    </row>
    <row r="135">
      <c r="A135" s="32"/>
      <c r="B135" s="32"/>
      <c r="C135" s="132" t="s">
        <v>235</v>
      </c>
      <c r="D135" s="78"/>
      <c r="E135" s="78"/>
      <c r="F135" s="136" t="s">
        <v>236</v>
      </c>
      <c r="G135" s="30"/>
      <c r="H135" s="30" t="s">
        <v>24</v>
      </c>
      <c r="I135" s="30"/>
      <c r="J135" s="30"/>
      <c r="K135" s="30"/>
      <c r="L135" s="30"/>
    </row>
    <row r="136">
      <c r="A136" s="32"/>
      <c r="B136" s="32"/>
      <c r="C136" s="132" t="s">
        <v>237</v>
      </c>
      <c r="D136" s="78"/>
      <c r="E136" s="78"/>
      <c r="F136" s="133"/>
      <c r="G136" s="30"/>
      <c r="H136" s="30" t="s">
        <v>24</v>
      </c>
      <c r="I136" s="30"/>
      <c r="J136" s="30"/>
      <c r="K136" s="30"/>
      <c r="L136" s="30"/>
    </row>
    <row r="137">
      <c r="A137" s="32"/>
      <c r="B137" s="32"/>
      <c r="C137" s="132" t="s">
        <v>238</v>
      </c>
      <c r="D137" s="78"/>
      <c r="E137" s="78"/>
      <c r="F137" s="89"/>
      <c r="G137" s="30"/>
      <c r="H137" s="30" t="s">
        <v>24</v>
      </c>
      <c r="I137" s="30"/>
      <c r="J137" s="30"/>
      <c r="K137" s="30"/>
      <c r="L137" s="30"/>
    </row>
    <row r="138">
      <c r="A138" s="32"/>
      <c r="B138" s="32"/>
      <c r="C138" s="132" t="s">
        <v>239</v>
      </c>
      <c r="D138" s="78"/>
      <c r="E138" s="78"/>
      <c r="F138" s="89"/>
      <c r="G138" s="30"/>
      <c r="H138" s="30" t="s">
        <v>24</v>
      </c>
      <c r="I138" s="30"/>
      <c r="J138" s="30"/>
      <c r="K138" s="30"/>
      <c r="L138" s="30"/>
    </row>
    <row r="139">
      <c r="A139" s="32"/>
      <c r="B139" s="32"/>
      <c r="C139" s="132" t="s">
        <v>240</v>
      </c>
      <c r="D139" s="78"/>
      <c r="E139" s="78"/>
      <c r="F139" s="89"/>
      <c r="G139" s="30"/>
      <c r="H139" s="30" t="s">
        <v>24</v>
      </c>
      <c r="I139" s="30"/>
      <c r="J139" s="30"/>
      <c r="K139" s="30"/>
      <c r="L139" s="30"/>
    </row>
    <row r="140">
      <c r="A140" s="32"/>
      <c r="B140" s="32"/>
      <c r="C140" s="132" t="s">
        <v>241</v>
      </c>
      <c r="D140" s="78"/>
      <c r="E140" s="78"/>
      <c r="F140" s="89"/>
      <c r="G140" s="30"/>
      <c r="H140" s="30" t="s">
        <v>24</v>
      </c>
      <c r="I140" s="30"/>
      <c r="J140" s="30"/>
      <c r="K140" s="30"/>
      <c r="L140" s="30"/>
    </row>
    <row r="141">
      <c r="A141" s="32"/>
      <c r="B141" s="32"/>
      <c r="C141" s="132" t="s">
        <v>242</v>
      </c>
      <c r="D141" s="78"/>
      <c r="E141" s="78"/>
      <c r="F141" s="89"/>
      <c r="G141" s="30"/>
      <c r="H141" s="30" t="s">
        <v>24</v>
      </c>
      <c r="I141" s="30"/>
      <c r="J141" s="30"/>
      <c r="K141" s="30"/>
      <c r="L141" s="30"/>
    </row>
    <row r="142">
      <c r="A142" s="32"/>
      <c r="B142" s="37"/>
      <c r="C142" s="132" t="s">
        <v>243</v>
      </c>
      <c r="D142" s="78"/>
      <c r="E142" s="78"/>
      <c r="F142" s="89"/>
      <c r="G142" s="30"/>
      <c r="H142" s="30" t="s">
        <v>24</v>
      </c>
      <c r="I142" s="30"/>
      <c r="J142" s="30"/>
      <c r="K142" s="30"/>
      <c r="L142" s="30"/>
    </row>
    <row r="143">
      <c r="A143" s="32"/>
      <c r="B143" s="102" t="s">
        <v>244</v>
      </c>
      <c r="C143" s="106" t="s">
        <v>245</v>
      </c>
      <c r="D143" s="78"/>
      <c r="E143" s="137"/>
      <c r="F143" s="191" t="s">
        <v>319</v>
      </c>
      <c r="G143" s="30"/>
      <c r="H143" s="30" t="s">
        <v>24</v>
      </c>
      <c r="I143" s="30"/>
      <c r="J143" s="30"/>
      <c r="K143" s="30"/>
      <c r="L143" s="30"/>
    </row>
    <row r="144">
      <c r="A144" s="32"/>
      <c r="B144" s="32"/>
      <c r="C144" s="123" t="s">
        <v>247</v>
      </c>
      <c r="D144" s="78"/>
      <c r="E144" s="186" t="s">
        <v>248</v>
      </c>
      <c r="F144" s="89" t="s">
        <v>207</v>
      </c>
      <c r="G144" s="30"/>
      <c r="H144" s="30" t="s">
        <v>24</v>
      </c>
      <c r="I144" s="30"/>
      <c r="J144" s="30"/>
      <c r="K144" s="30"/>
      <c r="L144" s="30"/>
    </row>
    <row r="145">
      <c r="A145" s="32"/>
      <c r="B145" s="32"/>
      <c r="C145" s="123" t="s">
        <v>249</v>
      </c>
      <c r="D145" s="78"/>
      <c r="E145" s="78"/>
      <c r="F145" s="89" t="s">
        <v>250</v>
      </c>
      <c r="G145" s="30"/>
      <c r="H145" s="30" t="s">
        <v>24</v>
      </c>
      <c r="I145" s="30"/>
      <c r="J145" s="30"/>
      <c r="K145" s="30"/>
      <c r="L145" s="30"/>
    </row>
    <row r="146">
      <c r="A146" s="32"/>
      <c r="B146" s="32"/>
      <c r="C146" s="103" t="s">
        <v>251</v>
      </c>
      <c r="D146" s="78"/>
      <c r="E146" s="78"/>
      <c r="F146" s="89" t="s">
        <v>252</v>
      </c>
      <c r="G146" s="30"/>
      <c r="H146" s="30" t="s">
        <v>24</v>
      </c>
      <c r="I146" s="30"/>
      <c r="J146" s="30"/>
      <c r="K146" s="30"/>
      <c r="L146" s="30"/>
    </row>
    <row r="147">
      <c r="A147" s="32"/>
      <c r="B147" s="32"/>
      <c r="C147" s="106" t="s">
        <v>253</v>
      </c>
      <c r="D147" s="78"/>
      <c r="E147" s="78"/>
      <c r="F147" s="89" t="s">
        <v>254</v>
      </c>
      <c r="G147" s="30"/>
      <c r="H147" s="30"/>
      <c r="I147" s="30"/>
      <c r="J147" s="30"/>
      <c r="K147" s="30"/>
      <c r="L147" s="30"/>
    </row>
    <row r="148">
      <c r="A148" s="32"/>
      <c r="B148" s="32"/>
      <c r="C148" s="106" t="s">
        <v>255</v>
      </c>
      <c r="D148" s="78"/>
      <c r="E148" s="78"/>
      <c r="F148" s="89" t="s">
        <v>256</v>
      </c>
      <c r="G148" s="30"/>
      <c r="H148" s="30"/>
      <c r="I148" s="30"/>
      <c r="J148" s="30"/>
      <c r="K148" s="30"/>
      <c r="L148" s="30"/>
    </row>
    <row r="149">
      <c r="A149" s="32"/>
      <c r="B149" s="32"/>
      <c r="C149" s="93" t="s">
        <v>257</v>
      </c>
      <c r="D149" s="78"/>
      <c r="E149" s="78"/>
      <c r="F149" s="79"/>
      <c r="G149" s="30"/>
      <c r="H149" s="30"/>
      <c r="I149" s="30"/>
      <c r="J149" s="30"/>
      <c r="K149" s="30"/>
      <c r="L149" s="30"/>
    </row>
    <row r="150">
      <c r="A150" s="32"/>
      <c r="B150" s="32"/>
      <c r="C150" s="93" t="s">
        <v>258</v>
      </c>
      <c r="D150" s="78"/>
      <c r="E150" s="78"/>
      <c r="F150" s="89" t="s">
        <v>259</v>
      </c>
      <c r="G150" s="30"/>
      <c r="H150" s="30"/>
      <c r="I150" s="30"/>
      <c r="J150" s="30"/>
      <c r="K150" s="30"/>
      <c r="L150" s="30"/>
    </row>
    <row r="151">
      <c r="A151" s="32"/>
      <c r="B151" s="32"/>
      <c r="C151" s="139" t="s">
        <v>260</v>
      </c>
      <c r="D151" s="78"/>
      <c r="E151" s="78"/>
      <c r="F151" s="79"/>
      <c r="G151" s="30"/>
      <c r="H151" s="30"/>
      <c r="I151" s="30"/>
      <c r="J151" s="30"/>
      <c r="K151" s="30"/>
      <c r="L151" s="30"/>
    </row>
    <row r="152">
      <c r="A152" s="32"/>
      <c r="B152" s="32"/>
      <c r="C152" s="139" t="s">
        <v>261</v>
      </c>
      <c r="D152" s="78"/>
      <c r="E152" s="78"/>
      <c r="F152" s="140" t="s">
        <v>262</v>
      </c>
      <c r="G152" s="30"/>
      <c r="H152" s="30"/>
      <c r="I152" s="30"/>
      <c r="J152" s="30"/>
      <c r="K152" s="30"/>
      <c r="L152" s="30"/>
    </row>
    <row r="153">
      <c r="A153" s="32"/>
      <c r="B153" s="37"/>
      <c r="C153" s="139" t="s">
        <v>263</v>
      </c>
      <c r="D153" s="78"/>
      <c r="E153" s="78"/>
      <c r="F153" s="79"/>
      <c r="G153" s="30"/>
      <c r="H153" s="30"/>
      <c r="I153" s="30"/>
      <c r="J153" s="30"/>
      <c r="K153" s="30"/>
      <c r="L153" s="30"/>
    </row>
    <row r="154">
      <c r="A154" s="32"/>
      <c r="B154" s="141" t="s">
        <v>264</v>
      </c>
      <c r="C154" s="142" t="s">
        <v>265</v>
      </c>
      <c r="D154" s="122"/>
      <c r="E154" s="186" t="s">
        <v>266</v>
      </c>
      <c r="F154" s="140"/>
      <c r="G154" s="30"/>
      <c r="H154" s="30"/>
      <c r="I154" s="30"/>
      <c r="J154" s="30"/>
      <c r="K154" s="30"/>
      <c r="L154" s="30"/>
    </row>
    <row r="155">
      <c r="A155" s="32"/>
      <c r="B155" s="32"/>
      <c r="C155" s="143" t="s">
        <v>267</v>
      </c>
      <c r="D155" s="189" t="s">
        <v>268</v>
      </c>
      <c r="E155" s="122"/>
      <c r="F155" s="144"/>
      <c r="G155" s="30"/>
      <c r="H155" s="30" t="s">
        <v>269</v>
      </c>
      <c r="I155" s="30"/>
      <c r="J155" s="30"/>
      <c r="K155" s="30"/>
      <c r="L155" s="30" t="s">
        <v>269</v>
      </c>
    </row>
    <row r="156">
      <c r="A156" s="32"/>
      <c r="B156" s="32"/>
      <c r="C156" s="143" t="s">
        <v>270</v>
      </c>
      <c r="D156" s="78"/>
      <c r="E156" s="192" t="s">
        <v>271</v>
      </c>
      <c r="F156" s="144"/>
      <c r="G156" s="30"/>
      <c r="H156" s="30"/>
      <c r="I156" s="30"/>
      <c r="J156" s="30"/>
      <c r="K156" s="30"/>
      <c r="L156" s="30"/>
    </row>
    <row r="157">
      <c r="A157" s="32"/>
      <c r="B157" s="32"/>
      <c r="C157" s="146" t="s">
        <v>272</v>
      </c>
      <c r="D157" s="78"/>
      <c r="E157" s="122"/>
      <c r="F157" s="193" t="s">
        <v>273</v>
      </c>
      <c r="G157" s="30"/>
      <c r="H157" s="30"/>
      <c r="I157" s="30"/>
      <c r="J157" s="30"/>
      <c r="K157" s="30"/>
      <c r="L157" s="30"/>
    </row>
    <row r="158">
      <c r="A158" s="37"/>
      <c r="B158" s="37"/>
      <c r="C158" s="148" t="s">
        <v>274</v>
      </c>
      <c r="D158" s="78"/>
      <c r="E158" s="122"/>
      <c r="F158" s="144" t="s">
        <v>275</v>
      </c>
      <c r="G158" s="30"/>
      <c r="H158" s="30"/>
      <c r="I158" s="30"/>
      <c r="J158" s="30"/>
      <c r="K158" s="30"/>
      <c r="L158" s="30"/>
    </row>
    <row r="159">
      <c r="A159" s="150"/>
      <c r="B159" s="150">
        <v>159.0</v>
      </c>
      <c r="C159" s="150" t="s">
        <v>320</v>
      </c>
      <c r="D159" s="150"/>
      <c r="E159" s="150"/>
      <c r="F159" s="151" t="s">
        <v>276</v>
      </c>
      <c r="G159" s="21">
        <v>0.0</v>
      </c>
      <c r="H159" s="21">
        <v>76.0</v>
      </c>
      <c r="I159" s="21">
        <v>0.0</v>
      </c>
      <c r="J159" s="21">
        <v>0.0</v>
      </c>
      <c r="K159" s="21">
        <v>0.0</v>
      </c>
      <c r="L159" s="21">
        <v>2.0</v>
      </c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>
      <c r="A164" s="79" t="s">
        <v>321</v>
      </c>
      <c r="B164" s="152"/>
      <c r="C164" s="152"/>
      <c r="D164" s="153"/>
      <c r="E164" s="10"/>
      <c r="F164" s="10"/>
      <c r="G164" s="10"/>
      <c r="H164" s="10"/>
      <c r="I164" s="10"/>
      <c r="J164" s="10"/>
      <c r="K164" s="10"/>
      <c r="L164" s="10"/>
    </row>
    <row r="165">
      <c r="A165" s="154"/>
      <c r="B165" s="155" t="s">
        <v>5</v>
      </c>
      <c r="C165" s="155" t="s">
        <v>277</v>
      </c>
      <c r="D165" s="155" t="s">
        <v>7</v>
      </c>
      <c r="E165" s="10"/>
      <c r="F165" s="10"/>
      <c r="G165" s="10"/>
      <c r="H165" s="10"/>
      <c r="I165" s="10"/>
      <c r="J165" s="10"/>
      <c r="K165" s="10"/>
      <c r="L165" s="10"/>
    </row>
    <row r="166">
      <c r="A166" s="155" t="s">
        <v>278</v>
      </c>
      <c r="B166" s="154">
        <v>0.0</v>
      </c>
      <c r="C166" s="154">
        <v>77.0</v>
      </c>
      <c r="D166" s="154">
        <v>0.0</v>
      </c>
      <c r="E166" s="10"/>
      <c r="F166" s="10"/>
      <c r="G166" s="10"/>
      <c r="H166" s="10"/>
      <c r="I166" s="10"/>
      <c r="J166" s="10"/>
      <c r="K166" s="10"/>
      <c r="L166" s="10"/>
    </row>
    <row r="167">
      <c r="A167" s="155" t="s">
        <v>279</v>
      </c>
      <c r="B167" s="154">
        <v>0.0</v>
      </c>
      <c r="C167" s="154">
        <v>0.0</v>
      </c>
      <c r="D167" s="154">
        <v>0.0</v>
      </c>
      <c r="E167" s="10"/>
      <c r="F167" s="10"/>
      <c r="G167" s="10"/>
      <c r="H167" s="10"/>
      <c r="I167" s="10"/>
      <c r="J167" s="10"/>
      <c r="K167" s="10"/>
      <c r="L167" s="10"/>
    </row>
    <row r="168">
      <c r="A168" s="155" t="s">
        <v>280</v>
      </c>
      <c r="B168" s="154">
        <v>0.0</v>
      </c>
      <c r="C168" s="154">
        <v>0.0</v>
      </c>
      <c r="D168" s="154">
        <v>0.0</v>
      </c>
      <c r="E168" s="10"/>
      <c r="F168" s="10"/>
      <c r="G168" s="10"/>
      <c r="H168" s="10"/>
      <c r="I168" s="10"/>
      <c r="J168" s="10"/>
      <c r="K168" s="10"/>
      <c r="L168" s="10"/>
    </row>
    <row r="169">
      <c r="A169" s="155" t="s">
        <v>281</v>
      </c>
      <c r="B169" s="154">
        <v>0.0</v>
      </c>
      <c r="C169" s="154">
        <v>30.0</v>
      </c>
      <c r="D169" s="154">
        <v>0.0</v>
      </c>
      <c r="E169" s="10"/>
      <c r="F169" s="10"/>
      <c r="G169" s="10"/>
      <c r="H169" s="10"/>
      <c r="I169" s="10"/>
      <c r="J169" s="10"/>
      <c r="K169" s="10"/>
      <c r="L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>
      <c r="A172" s="156" t="s">
        <v>282</v>
      </c>
      <c r="F172" s="10"/>
      <c r="G172" s="10"/>
      <c r="H172" s="10"/>
      <c r="I172" s="10"/>
      <c r="J172" s="10"/>
      <c r="K172" s="10"/>
      <c r="L172" s="10"/>
    </row>
    <row r="173">
      <c r="A173" s="157" t="s">
        <v>8</v>
      </c>
      <c r="B173" s="158"/>
      <c r="C173" s="158"/>
      <c r="D173" s="158"/>
      <c r="E173" s="157" t="s">
        <v>283</v>
      </c>
      <c r="F173" s="10"/>
      <c r="G173" s="10"/>
      <c r="H173" s="10"/>
      <c r="I173" s="10"/>
      <c r="J173" s="10"/>
      <c r="K173" s="10"/>
      <c r="L173" s="10"/>
    </row>
    <row r="174">
      <c r="A174" s="159" t="s">
        <v>284</v>
      </c>
      <c r="B174" s="158"/>
      <c r="C174" s="158"/>
      <c r="D174" s="158"/>
      <c r="E174" s="160" t="s">
        <v>24</v>
      </c>
      <c r="F174" s="10"/>
      <c r="G174" s="10"/>
      <c r="H174" s="10"/>
      <c r="I174" s="10"/>
      <c r="J174" s="10"/>
      <c r="K174" s="10"/>
      <c r="L174" s="10"/>
    </row>
    <row r="175">
      <c r="A175" s="161" t="s">
        <v>285</v>
      </c>
      <c r="B175" s="158"/>
      <c r="C175" s="158"/>
      <c r="D175" s="158"/>
      <c r="E175" s="162" t="s">
        <v>12</v>
      </c>
      <c r="F175" s="10"/>
      <c r="G175" s="10"/>
      <c r="H175" s="10"/>
      <c r="I175" s="10"/>
      <c r="J175" s="10"/>
      <c r="K175" s="10"/>
      <c r="L175" s="10"/>
    </row>
    <row r="176">
      <c r="A176" s="163" t="s">
        <v>286</v>
      </c>
      <c r="B176" s="158"/>
      <c r="C176" s="158"/>
      <c r="D176" s="158"/>
      <c r="E176" s="164" t="s">
        <v>287</v>
      </c>
      <c r="F176" s="10"/>
      <c r="G176" s="10"/>
      <c r="H176" s="10"/>
      <c r="I176" s="10"/>
      <c r="J176" s="10"/>
      <c r="K176" s="10"/>
      <c r="L176" s="10"/>
    </row>
    <row r="177">
      <c r="A177" s="165" t="s">
        <v>288</v>
      </c>
      <c r="B177" s="158"/>
      <c r="C177" s="158"/>
      <c r="D177" s="158"/>
      <c r="E177" s="166" t="s">
        <v>10</v>
      </c>
      <c r="F177" s="10"/>
      <c r="G177" s="10"/>
      <c r="H177" s="10"/>
      <c r="I177" s="10"/>
      <c r="J177" s="10"/>
      <c r="K177" s="10"/>
      <c r="L177" s="10"/>
    </row>
    <row r="178">
      <c r="A178" s="167" t="s">
        <v>289</v>
      </c>
      <c r="B178" s="158"/>
      <c r="C178" s="158"/>
      <c r="D178" s="158"/>
      <c r="E178" s="168" t="s">
        <v>290</v>
      </c>
      <c r="F178" s="10"/>
      <c r="G178" s="10"/>
      <c r="H178" s="10"/>
      <c r="I178" s="10"/>
      <c r="J178" s="10"/>
      <c r="K178" s="10"/>
      <c r="L178" s="10"/>
    </row>
    <row r="179">
      <c r="A179" s="169" t="s">
        <v>291</v>
      </c>
      <c r="B179" s="158"/>
      <c r="C179" s="158"/>
      <c r="D179" s="158"/>
      <c r="E179" s="170" t="s">
        <v>292</v>
      </c>
      <c r="F179" s="10"/>
      <c r="G179" s="10"/>
      <c r="H179" s="10"/>
      <c r="I179" s="10"/>
      <c r="J179" s="10"/>
      <c r="K179" s="10"/>
      <c r="L179" s="10"/>
    </row>
    <row r="180">
      <c r="A180" s="171" t="s">
        <v>293</v>
      </c>
      <c r="B180" s="158"/>
      <c r="C180" s="158"/>
      <c r="D180" s="158"/>
      <c r="E180" s="172" t="s">
        <v>294</v>
      </c>
      <c r="F180" s="10"/>
      <c r="G180" s="10"/>
      <c r="H180" s="10"/>
      <c r="I180" s="10"/>
      <c r="J180" s="10"/>
      <c r="K180" s="10"/>
      <c r="L180" s="10"/>
    </row>
    <row r="181">
      <c r="A181" s="173" t="s">
        <v>295</v>
      </c>
      <c r="B181" s="158"/>
      <c r="C181" s="158"/>
      <c r="D181" s="158"/>
      <c r="E181" s="174" t="s">
        <v>11</v>
      </c>
      <c r="F181" s="10"/>
      <c r="G181" s="10"/>
      <c r="H181" s="10"/>
      <c r="I181" s="10"/>
      <c r="J181" s="10"/>
      <c r="K181" s="10"/>
      <c r="L181" s="10"/>
    </row>
    <row r="182">
      <c r="A182" s="175" t="s">
        <v>296</v>
      </c>
      <c r="B182" s="158"/>
      <c r="C182" s="158"/>
      <c r="D182" s="158"/>
      <c r="E182" s="176" t="s">
        <v>12</v>
      </c>
      <c r="F182" s="10"/>
      <c r="G182" s="10"/>
      <c r="H182" s="10"/>
      <c r="I182" s="10"/>
      <c r="J182" s="10"/>
      <c r="K182" s="10"/>
      <c r="L182" s="10"/>
    </row>
    <row r="183">
      <c r="A183" s="177" t="s">
        <v>297</v>
      </c>
      <c r="B183" s="158"/>
      <c r="C183" s="158"/>
      <c r="D183" s="158"/>
      <c r="E183" s="158"/>
      <c r="F183" s="10"/>
      <c r="G183" s="10"/>
      <c r="H183" s="10"/>
      <c r="I183" s="10"/>
      <c r="J183" s="10"/>
      <c r="K183" s="10"/>
      <c r="L183" s="10"/>
    </row>
    <row r="184">
      <c r="A184" s="178" t="s">
        <v>298</v>
      </c>
      <c r="B184" s="158"/>
      <c r="C184" s="158"/>
      <c r="D184" s="158"/>
      <c r="E184" s="158"/>
      <c r="F184" s="10"/>
      <c r="G184" s="10"/>
      <c r="H184" s="10"/>
      <c r="I184" s="10"/>
      <c r="J184" s="10"/>
      <c r="K184" s="10"/>
      <c r="L184" s="10"/>
    </row>
    <row r="185">
      <c r="A185" s="179" t="s">
        <v>299</v>
      </c>
      <c r="B185" s="158"/>
      <c r="C185" s="158"/>
      <c r="D185" s="158"/>
      <c r="E185" s="158"/>
      <c r="F185" s="10"/>
      <c r="G185" s="10"/>
      <c r="H185" s="10"/>
      <c r="I185" s="10"/>
      <c r="J185" s="10"/>
      <c r="K185" s="10"/>
      <c r="L185" s="10"/>
    </row>
    <row r="186">
      <c r="A186" s="180" t="s">
        <v>300</v>
      </c>
      <c r="B186" s="158"/>
      <c r="C186" s="158"/>
      <c r="D186" s="158"/>
      <c r="E186" s="158"/>
      <c r="F186" s="10"/>
      <c r="G186" s="10"/>
      <c r="H186" s="10"/>
      <c r="I186" s="10"/>
      <c r="J186" s="10"/>
      <c r="K186" s="10"/>
      <c r="L186" s="10"/>
    </row>
    <row r="187">
      <c r="A187" s="181" t="s">
        <v>301</v>
      </c>
      <c r="B187" s="158"/>
      <c r="C187" s="158"/>
      <c r="D187" s="158"/>
      <c r="E187" s="158"/>
      <c r="F187" s="10"/>
      <c r="G187" s="10"/>
      <c r="H187" s="10"/>
      <c r="I187" s="10"/>
      <c r="J187" s="10"/>
      <c r="K187" s="10"/>
      <c r="L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</sheetData>
  <mergeCells count="30">
    <mergeCell ref="B19:B21"/>
    <mergeCell ref="B22:B25"/>
    <mergeCell ref="B26:B27"/>
    <mergeCell ref="B28:B33"/>
    <mergeCell ref="B34:B39"/>
    <mergeCell ref="B40:B41"/>
    <mergeCell ref="B42:B45"/>
    <mergeCell ref="B46:B49"/>
    <mergeCell ref="G1:I1"/>
    <mergeCell ref="J1:L1"/>
    <mergeCell ref="A6:A8"/>
    <mergeCell ref="B6:B8"/>
    <mergeCell ref="A9:A62"/>
    <mergeCell ref="B9:B13"/>
    <mergeCell ref="B14:B18"/>
    <mergeCell ref="B59:B62"/>
    <mergeCell ref="B119:B124"/>
    <mergeCell ref="B125:B128"/>
    <mergeCell ref="B129:B142"/>
    <mergeCell ref="B143:B153"/>
    <mergeCell ref="A164:D164"/>
    <mergeCell ref="A172:E172"/>
    <mergeCell ref="B50:B56"/>
    <mergeCell ref="B57:B58"/>
    <mergeCell ref="A63:A158"/>
    <mergeCell ref="B63:B79"/>
    <mergeCell ref="B80:B94"/>
    <mergeCell ref="B95:B98"/>
    <mergeCell ref="B99:B118"/>
    <mergeCell ref="B154:B158"/>
  </mergeCells>
  <conditionalFormatting sqref="B3:D3 G4:L4">
    <cfRule type="cellIs" dxfId="0" priority="1" stopIfTrue="1" operator="equal">
      <formula>"Amrita"</formula>
    </cfRule>
  </conditionalFormatting>
  <conditionalFormatting sqref="B3:D3 G4:L4">
    <cfRule type="cellIs" dxfId="1" priority="2" stopIfTrue="1" operator="equal">
      <formula>"Soumya"</formula>
    </cfRule>
  </conditionalFormatting>
  <conditionalFormatting sqref="B3:D3 G4:L4">
    <cfRule type="cellIs" dxfId="2" priority="3" stopIfTrue="1" operator="equal">
      <formula>"Hannah"</formula>
    </cfRule>
  </conditionalFormatting>
  <conditionalFormatting sqref="B3:D3 G4:L4">
    <cfRule type="cellIs" dxfId="3" priority="4" stopIfTrue="1" operator="equal">
      <formula>"Naga Lakshmi"</formula>
    </cfRule>
  </conditionalFormatting>
  <conditionalFormatting sqref="B3:D3 G4:L4">
    <cfRule type="cellIs" dxfId="4" priority="5" stopIfTrue="1" operator="equal">
      <formula>"Aditya"</formula>
    </cfRule>
  </conditionalFormatting>
  <conditionalFormatting sqref="B3:D3 G4:L4">
    <cfRule type="cellIs" dxfId="5" priority="6" stopIfTrue="1" operator="equal">
      <formula>"Sakshi"</formula>
    </cfRule>
  </conditionalFormatting>
  <conditionalFormatting sqref="B3:D3 G4:L4">
    <cfRule type="cellIs" dxfId="6" priority="7" stopIfTrue="1" operator="equal">
      <formula>"Abdul"</formula>
    </cfRule>
  </conditionalFormatting>
  <conditionalFormatting sqref="B3:D3 G4:L4">
    <cfRule type="cellIs" dxfId="7" priority="8" stopIfTrue="1" operator="equal">
      <formula>"Sourabh"</formula>
    </cfRule>
  </conditionalFormatting>
  <conditionalFormatting sqref="B3:D3 G4:L4">
    <cfRule type="cellIs" dxfId="8" priority="9" stopIfTrue="1" operator="equal">
      <formula>"Prachi"</formula>
    </cfRule>
  </conditionalFormatting>
  <conditionalFormatting sqref="B3:D3 G4:L4">
    <cfRule type="cellIs" dxfId="9" priority="10" stopIfTrue="1" operator="equal">
      <formula>"Vishnu"</formula>
    </cfRule>
  </conditionalFormatting>
  <conditionalFormatting sqref="B3:D3 G4:L4">
    <cfRule type="cellIs" dxfId="10" priority="11" stopIfTrue="1" operator="equal">
      <formula>"Ivy"</formula>
    </cfRule>
  </conditionalFormatting>
  <conditionalFormatting sqref="B3:D3 G4:L4">
    <cfRule type="cellIs" dxfId="11" priority="12" stopIfTrue="1" operator="equal">
      <formula>"Rupal"</formula>
    </cfRule>
  </conditionalFormatting>
  <conditionalFormatting sqref="B3:D3 G4:L4">
    <cfRule type="cellIs" dxfId="12" priority="13" stopIfTrue="1" operator="equal">
      <formula>"Soumyajit"</formula>
    </cfRule>
  </conditionalFormatting>
  <conditionalFormatting sqref="B3:D3 G4:L4">
    <cfRule type="cellIs" dxfId="13" priority="14" stopIfTrue="1" operator="equal">
      <formula>"Propali"</formula>
    </cfRule>
  </conditionalFormatting>
  <conditionalFormatting sqref="B3:D3 G4:L4">
    <cfRule type="cellIs" dxfId="14" priority="15" stopIfTrue="1" operator="equal">
      <formula>"Akshay"</formula>
    </cfRule>
  </conditionalFormatting>
  <conditionalFormatting sqref="B3:D3 G4:L4">
    <cfRule type="cellIs" dxfId="15" priority="16" stopIfTrue="1" operator="equal">
      <formula>"Nachiket"</formula>
    </cfRule>
  </conditionalFormatting>
  <conditionalFormatting sqref="G6:L158">
    <cfRule type="cellIs" dxfId="16" priority="17" stopIfTrue="1" operator="equal">
      <formula>"OK"</formula>
    </cfRule>
  </conditionalFormatting>
  <conditionalFormatting sqref="G6:L158">
    <cfRule type="cellIs" dxfId="16" priority="18" stopIfTrue="1" operator="equal">
      <formula>"AUTO_PASS"</formula>
    </cfRule>
  </conditionalFormatting>
  <conditionalFormatting sqref="G6:L158">
    <cfRule type="cellIs" dxfId="17" priority="19" stopIfTrue="1" operator="equal">
      <formula>"AUTO_FAIL"</formula>
    </cfRule>
  </conditionalFormatting>
  <conditionalFormatting sqref="B3:D3 G4:L4 G6:L158">
    <cfRule type="cellIs" dxfId="18" priority="20" stopIfTrue="1" operator="equal">
      <formula>"Not Tested"</formula>
    </cfRule>
  </conditionalFormatting>
  <conditionalFormatting sqref="G6:L158">
    <cfRule type="cellIs" dxfId="19" priority="21" stopIfTrue="1" operator="equal">
      <formula>"N/A"</formula>
    </cfRule>
  </conditionalFormatting>
  <conditionalFormatting sqref="B2:D2 G3:L3">
    <cfRule type="containsText" dxfId="20" priority="22" stopIfTrue="1" operator="containsText" text="Incomplete">
      <formula>NOT(ISERROR(SEARCH(("Incomplete"),(B2))))</formula>
    </cfRule>
  </conditionalFormatting>
  <conditionalFormatting sqref="B2:D2 G3:L3">
    <cfRule type="containsText" dxfId="17" priority="23" stopIfTrue="1" operator="containsText" text="Broken">
      <formula>NOT(ISERROR(SEARCH(("Broken"),(B2))))</formula>
    </cfRule>
  </conditionalFormatting>
  <conditionalFormatting sqref="B2:D2 G3:L3">
    <cfRule type="containsText" dxfId="21" priority="24" stopIfTrue="1" operator="containsText" text="Some problems">
      <formula>NOT(ISERROR(SEARCH(("Some problems"),(B2))))</formula>
    </cfRule>
  </conditionalFormatting>
  <conditionalFormatting sqref="B2:D2 G3:L3">
    <cfRule type="containsText" dxfId="22" priority="25" stopIfTrue="1" operator="containsText" text="All OK">
      <formula>NOT(ISERROR(SEARCH(("All OK"),(B2))))</formula>
    </cfRule>
  </conditionalFormatting>
  <conditionalFormatting sqref="B2:D2 G3:L3">
    <cfRule type="containsText" dxfId="23" priority="26" stopIfTrue="1" operator="containsText" text="In Progress">
      <formula>NOT(ISERROR(SEARCH(("In Progress"),(B2))))</formula>
    </cfRule>
  </conditionalFormatting>
  <conditionalFormatting sqref="B2:D2 G3:L3">
    <cfRule type="containsText" dxfId="24" priority="27" stopIfTrue="1" operator="containsText" text="Not Tested">
      <formula>NOT(ISERROR(SEARCH(("Not Tested"),(B2))))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322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322</v>
      </c>
      <c r="H1" s="6"/>
      <c r="I1" s="7"/>
      <c r="J1" s="5" t="s">
        <v>323</v>
      </c>
      <c r="K1" s="6"/>
      <c r="L1" s="7"/>
    </row>
    <row r="2">
      <c r="A2" s="8"/>
      <c r="B2" s="9" t="s">
        <v>10</v>
      </c>
      <c r="C2" s="9" t="s">
        <v>324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</row>
    <row r="3">
      <c r="A3" s="13" t="s">
        <v>8</v>
      </c>
      <c r="B3" s="9" t="s">
        <v>12</v>
      </c>
      <c r="C3" s="9" t="s">
        <v>325</v>
      </c>
      <c r="D3" s="9" t="s">
        <v>12</v>
      </c>
      <c r="E3" s="10"/>
      <c r="F3" s="14" t="s">
        <v>9</v>
      </c>
      <c r="G3" s="15" t="s">
        <v>10</v>
      </c>
      <c r="H3" s="15" t="s">
        <v>11</v>
      </c>
      <c r="I3" s="15" t="s">
        <v>10</v>
      </c>
      <c r="J3" s="15" t="s">
        <v>10</v>
      </c>
      <c r="K3" s="15" t="s">
        <v>10</v>
      </c>
      <c r="L3" s="15" t="s">
        <v>292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325</v>
      </c>
      <c r="I4" s="15" t="s">
        <v>12</v>
      </c>
      <c r="J4" s="15" t="s">
        <v>12</v>
      </c>
      <c r="K4" s="15" t="s">
        <v>12</v>
      </c>
      <c r="L4" s="15" t="s">
        <v>14</v>
      </c>
    </row>
    <row r="5">
      <c r="A5" s="18" t="s">
        <v>15</v>
      </c>
      <c r="B5" s="19" t="s">
        <v>16</v>
      </c>
      <c r="C5" s="19" t="s">
        <v>17</v>
      </c>
      <c r="D5" s="19" t="s">
        <v>18</v>
      </c>
      <c r="E5" s="19" t="s">
        <v>19</v>
      </c>
      <c r="F5" s="20" t="s">
        <v>20</v>
      </c>
      <c r="G5" s="21"/>
      <c r="H5" s="21"/>
      <c r="I5" s="22"/>
      <c r="J5" s="21"/>
      <c r="K5" s="21"/>
      <c r="L5" s="22"/>
    </row>
    <row r="6">
      <c r="A6" s="23" t="s">
        <v>21</v>
      </c>
      <c r="B6" s="24" t="s">
        <v>22</v>
      </c>
      <c r="C6" s="25" t="s">
        <v>23</v>
      </c>
      <c r="D6" s="26"/>
      <c r="E6" s="27"/>
      <c r="F6" s="28"/>
      <c r="G6" s="29"/>
      <c r="H6" s="29" t="s">
        <v>24</v>
      </c>
      <c r="I6" s="31"/>
      <c r="J6" s="29"/>
      <c r="K6" s="29"/>
      <c r="L6" s="31" t="s">
        <v>24</v>
      </c>
    </row>
    <row r="7">
      <c r="A7" s="32"/>
      <c r="B7" s="32"/>
      <c r="C7" s="33" t="s">
        <v>25</v>
      </c>
      <c r="D7" s="34"/>
      <c r="E7" s="35"/>
      <c r="F7" s="36"/>
      <c r="G7" s="29"/>
      <c r="H7" s="29" t="s">
        <v>24</v>
      </c>
      <c r="I7" s="30"/>
      <c r="J7" s="29"/>
      <c r="K7" s="29"/>
      <c r="L7" s="30" t="s">
        <v>24</v>
      </c>
    </row>
    <row r="8">
      <c r="A8" s="37"/>
      <c r="B8" s="37"/>
      <c r="C8" s="33" t="s">
        <v>26</v>
      </c>
      <c r="D8" s="34"/>
      <c r="E8" s="35"/>
      <c r="F8" s="36"/>
      <c r="G8" s="29"/>
      <c r="H8" s="29" t="s">
        <v>326</v>
      </c>
      <c r="I8" s="29"/>
      <c r="J8" s="29"/>
      <c r="K8" s="29"/>
      <c r="L8" s="29" t="s">
        <v>326</v>
      </c>
    </row>
    <row r="9">
      <c r="A9" s="38" t="s">
        <v>27</v>
      </c>
      <c r="B9" s="39" t="s">
        <v>28</v>
      </c>
      <c r="C9" s="40" t="s">
        <v>29</v>
      </c>
      <c r="D9" s="34"/>
      <c r="E9" s="182" t="s">
        <v>308</v>
      </c>
      <c r="F9" s="36"/>
      <c r="G9" s="29"/>
      <c r="H9" s="29" t="s">
        <v>24</v>
      </c>
      <c r="I9" s="30"/>
      <c r="J9" s="29"/>
      <c r="K9" s="29"/>
      <c r="L9" s="30" t="s">
        <v>24</v>
      </c>
    </row>
    <row r="10">
      <c r="A10" s="32"/>
      <c r="B10" s="32"/>
      <c r="C10" s="40" t="s">
        <v>31</v>
      </c>
      <c r="D10" s="34"/>
      <c r="E10" s="35"/>
      <c r="F10" s="36"/>
      <c r="G10" s="29"/>
      <c r="H10" s="29" t="s">
        <v>24</v>
      </c>
      <c r="I10" s="30"/>
      <c r="J10" s="29"/>
      <c r="K10" s="29"/>
      <c r="L10" s="30" t="s">
        <v>24</v>
      </c>
    </row>
    <row r="11">
      <c r="A11" s="32"/>
      <c r="B11" s="32"/>
      <c r="C11" s="40" t="s">
        <v>32</v>
      </c>
      <c r="D11" s="34"/>
      <c r="E11" s="35"/>
      <c r="F11" s="36"/>
      <c r="G11" s="29"/>
      <c r="H11" s="29" t="s">
        <v>24</v>
      </c>
      <c r="I11" s="42"/>
      <c r="J11" s="29"/>
      <c r="K11" s="29"/>
      <c r="L11" s="42"/>
    </row>
    <row r="12">
      <c r="A12" s="32"/>
      <c r="B12" s="32"/>
      <c r="C12" s="43" t="s">
        <v>33</v>
      </c>
      <c r="D12" s="34"/>
      <c r="E12" s="44" t="s">
        <v>34</v>
      </c>
      <c r="F12" s="36"/>
      <c r="G12" s="29"/>
      <c r="H12" s="29" t="s">
        <v>24</v>
      </c>
      <c r="I12" s="42"/>
      <c r="J12" s="29"/>
      <c r="K12" s="29"/>
      <c r="L12" s="42"/>
    </row>
    <row r="13">
      <c r="A13" s="32"/>
      <c r="B13" s="37"/>
      <c r="C13" s="40" t="s">
        <v>35</v>
      </c>
      <c r="D13" s="34"/>
      <c r="E13" s="35"/>
      <c r="F13" s="36"/>
      <c r="G13" s="29"/>
      <c r="H13" s="29" t="s">
        <v>24</v>
      </c>
      <c r="I13" s="42"/>
      <c r="J13" s="29"/>
      <c r="K13" s="29"/>
      <c r="L13" s="42"/>
    </row>
    <row r="14">
      <c r="A14" s="32"/>
      <c r="B14" s="45" t="s">
        <v>36</v>
      </c>
      <c r="C14" s="46" t="s">
        <v>37</v>
      </c>
      <c r="D14" s="34"/>
      <c r="E14" s="35"/>
      <c r="F14" s="47" t="s">
        <v>38</v>
      </c>
      <c r="G14" s="29"/>
      <c r="H14" s="29" t="s">
        <v>24</v>
      </c>
      <c r="I14" s="30"/>
      <c r="J14" s="29"/>
      <c r="K14" s="29"/>
      <c r="L14" s="30" t="s">
        <v>24</v>
      </c>
    </row>
    <row r="15">
      <c r="A15" s="32"/>
      <c r="B15" s="32"/>
      <c r="C15" s="33" t="s">
        <v>39</v>
      </c>
      <c r="D15" s="34"/>
      <c r="E15" s="35"/>
      <c r="F15" s="36"/>
      <c r="G15" s="29"/>
      <c r="H15" s="29" t="s">
        <v>24</v>
      </c>
      <c r="I15" s="30"/>
      <c r="J15" s="29"/>
      <c r="K15" s="29"/>
      <c r="L15" s="30" t="s">
        <v>24</v>
      </c>
    </row>
    <row r="16">
      <c r="A16" s="32"/>
      <c r="B16" s="32"/>
      <c r="C16" s="48" t="s">
        <v>40</v>
      </c>
      <c r="D16" s="34"/>
      <c r="E16" s="35"/>
      <c r="F16" s="36"/>
      <c r="G16" s="29"/>
      <c r="H16" s="29" t="s">
        <v>24</v>
      </c>
      <c r="I16" s="30"/>
      <c r="J16" s="29"/>
      <c r="K16" s="29"/>
      <c r="L16" s="30" t="s">
        <v>24</v>
      </c>
    </row>
    <row r="17">
      <c r="A17" s="32"/>
      <c r="B17" s="32"/>
      <c r="C17" s="49" t="s">
        <v>41</v>
      </c>
      <c r="D17" s="34"/>
      <c r="E17" s="35"/>
      <c r="F17" s="47" t="s">
        <v>38</v>
      </c>
      <c r="G17" s="29"/>
      <c r="H17" s="29" t="s">
        <v>24</v>
      </c>
      <c r="I17" s="30"/>
      <c r="J17" s="29"/>
      <c r="K17" s="29"/>
      <c r="L17" s="30" t="s">
        <v>24</v>
      </c>
    </row>
    <row r="18">
      <c r="A18" s="32"/>
      <c r="B18" s="37"/>
      <c r="C18" s="46" t="s">
        <v>42</v>
      </c>
      <c r="D18" s="34"/>
      <c r="E18" s="35"/>
      <c r="F18" s="36"/>
      <c r="G18" s="29"/>
      <c r="H18" s="29" t="s">
        <v>24</v>
      </c>
      <c r="I18" s="42"/>
      <c r="J18" s="29"/>
      <c r="K18" s="29"/>
      <c r="L18" s="42"/>
    </row>
    <row r="19">
      <c r="A19" s="32"/>
      <c r="B19" s="45" t="s">
        <v>43</v>
      </c>
      <c r="C19" s="40" t="s">
        <v>44</v>
      </c>
      <c r="D19" s="34"/>
      <c r="E19" s="35"/>
      <c r="F19" s="36"/>
      <c r="G19" s="29"/>
      <c r="H19" s="29" t="s">
        <v>24</v>
      </c>
      <c r="I19" s="30"/>
      <c r="J19" s="29"/>
      <c r="K19" s="29"/>
      <c r="L19" s="30" t="s">
        <v>24</v>
      </c>
    </row>
    <row r="20">
      <c r="A20" s="32"/>
      <c r="B20" s="32"/>
      <c r="C20" s="40" t="s">
        <v>45</v>
      </c>
      <c r="D20" s="34"/>
      <c r="E20" s="35"/>
      <c r="F20" s="36"/>
      <c r="G20" s="29"/>
      <c r="H20" s="29" t="s">
        <v>24</v>
      </c>
      <c r="I20" s="30"/>
      <c r="J20" s="29"/>
      <c r="K20" s="29"/>
      <c r="L20" s="30" t="s">
        <v>24</v>
      </c>
    </row>
    <row r="21">
      <c r="A21" s="32"/>
      <c r="B21" s="37"/>
      <c r="C21" s="40" t="s">
        <v>46</v>
      </c>
      <c r="D21" s="34"/>
      <c r="E21" s="35"/>
      <c r="F21" s="36"/>
      <c r="G21" s="29"/>
      <c r="H21" s="29"/>
      <c r="I21" s="30"/>
      <c r="J21" s="29"/>
      <c r="K21" s="29"/>
      <c r="L21" s="30" t="s">
        <v>24</v>
      </c>
    </row>
    <row r="22">
      <c r="A22" s="32"/>
      <c r="B22" s="45" t="s">
        <v>47</v>
      </c>
      <c r="C22" s="40" t="s">
        <v>48</v>
      </c>
      <c r="D22" s="34"/>
      <c r="E22" s="35"/>
      <c r="F22" s="36"/>
      <c r="G22" s="29"/>
      <c r="H22" s="29" t="s">
        <v>24</v>
      </c>
      <c r="I22" s="30"/>
      <c r="J22" s="29"/>
      <c r="K22" s="29"/>
      <c r="L22" s="30" t="s">
        <v>24</v>
      </c>
    </row>
    <row r="23">
      <c r="A23" s="32"/>
      <c r="B23" s="32"/>
      <c r="C23" s="40" t="s">
        <v>49</v>
      </c>
      <c r="D23" s="34"/>
      <c r="E23" s="35"/>
      <c r="F23" s="36"/>
      <c r="G23" s="29"/>
      <c r="H23" s="29" t="s">
        <v>24</v>
      </c>
      <c r="I23" s="30"/>
      <c r="J23" s="29"/>
      <c r="K23" s="29"/>
      <c r="L23" s="30" t="s">
        <v>24</v>
      </c>
    </row>
    <row r="24">
      <c r="A24" s="32"/>
      <c r="B24" s="32"/>
      <c r="C24" s="40" t="s">
        <v>50</v>
      </c>
      <c r="D24" s="34"/>
      <c r="E24" s="35"/>
      <c r="F24" s="36"/>
      <c r="G24" s="29"/>
      <c r="H24" s="29" t="s">
        <v>24</v>
      </c>
      <c r="I24" s="30"/>
      <c r="J24" s="29"/>
      <c r="K24" s="29"/>
      <c r="L24" s="30" t="s">
        <v>24</v>
      </c>
    </row>
    <row r="25">
      <c r="A25" s="32"/>
      <c r="B25" s="37"/>
      <c r="C25" s="40" t="s">
        <v>51</v>
      </c>
      <c r="D25" s="34"/>
      <c r="E25" s="35"/>
      <c r="F25" s="36"/>
      <c r="G25" s="29"/>
      <c r="H25" s="29" t="s">
        <v>24</v>
      </c>
      <c r="I25" s="30"/>
      <c r="J25" s="29"/>
      <c r="K25" s="29"/>
      <c r="L25" s="30" t="s">
        <v>24</v>
      </c>
    </row>
    <row r="26">
      <c r="A26" s="32"/>
      <c r="B26" s="39" t="s">
        <v>52</v>
      </c>
      <c r="C26" s="46" t="s">
        <v>53</v>
      </c>
      <c r="D26" s="34"/>
      <c r="E26" s="35"/>
      <c r="F26" s="36"/>
      <c r="G26" s="29"/>
      <c r="H26" s="29" t="s">
        <v>24</v>
      </c>
      <c r="I26" s="30"/>
      <c r="J26" s="29"/>
      <c r="K26" s="29"/>
      <c r="L26" s="30" t="s">
        <v>24</v>
      </c>
    </row>
    <row r="27">
      <c r="A27" s="32"/>
      <c r="B27" s="37"/>
      <c r="C27" s="46" t="s">
        <v>54</v>
      </c>
      <c r="D27" s="34"/>
      <c r="E27" s="35"/>
      <c r="F27" s="36"/>
      <c r="G27" s="29"/>
      <c r="H27" s="29" t="s">
        <v>24</v>
      </c>
      <c r="I27" s="30"/>
      <c r="J27" s="29"/>
      <c r="K27" s="29"/>
      <c r="L27" s="30" t="s">
        <v>24</v>
      </c>
    </row>
    <row r="28">
      <c r="A28" s="32"/>
      <c r="B28" s="45" t="s">
        <v>55</v>
      </c>
      <c r="C28" s="46" t="s">
        <v>56</v>
      </c>
      <c r="D28" s="34"/>
      <c r="E28" s="35"/>
      <c r="F28" s="36"/>
      <c r="G28" s="29"/>
      <c r="H28" s="29" t="s">
        <v>24</v>
      </c>
      <c r="I28" s="30"/>
      <c r="J28" s="29"/>
      <c r="K28" s="29"/>
      <c r="L28" s="30" t="s">
        <v>24</v>
      </c>
    </row>
    <row r="29">
      <c r="A29" s="32"/>
      <c r="B29" s="32"/>
      <c r="C29" s="46" t="s">
        <v>57</v>
      </c>
      <c r="D29" s="34"/>
      <c r="E29" s="35"/>
      <c r="F29" s="36"/>
      <c r="G29" s="29"/>
      <c r="H29" s="29" t="s">
        <v>24</v>
      </c>
      <c r="I29" s="30"/>
      <c r="J29" s="29"/>
      <c r="K29" s="29"/>
      <c r="L29" s="30" t="s">
        <v>24</v>
      </c>
    </row>
    <row r="30">
      <c r="A30" s="32"/>
      <c r="B30" s="32"/>
      <c r="C30" s="46" t="s">
        <v>58</v>
      </c>
      <c r="D30" s="34"/>
      <c r="E30" s="35"/>
      <c r="F30" s="36"/>
      <c r="G30" s="29"/>
      <c r="H30" s="29" t="s">
        <v>24</v>
      </c>
      <c r="I30" s="30"/>
      <c r="J30" s="29"/>
      <c r="K30" s="29"/>
      <c r="L30" s="30" t="s">
        <v>24</v>
      </c>
    </row>
    <row r="31">
      <c r="A31" s="32"/>
      <c r="B31" s="32"/>
      <c r="C31" s="49" t="s">
        <v>59</v>
      </c>
      <c r="D31" s="34"/>
      <c r="E31" s="35"/>
      <c r="F31" s="36"/>
      <c r="G31" s="29"/>
      <c r="H31" s="29" t="s">
        <v>24</v>
      </c>
      <c r="I31" s="30"/>
      <c r="J31" s="29"/>
      <c r="K31" s="29"/>
      <c r="L31" s="30" t="s">
        <v>24</v>
      </c>
    </row>
    <row r="32">
      <c r="A32" s="32"/>
      <c r="B32" s="32"/>
      <c r="C32" s="49" t="s">
        <v>60</v>
      </c>
      <c r="D32" s="34"/>
      <c r="E32" s="35"/>
      <c r="F32" s="36"/>
      <c r="G32" s="29"/>
      <c r="H32" s="29" t="s">
        <v>24</v>
      </c>
      <c r="I32" s="30"/>
      <c r="J32" s="29"/>
      <c r="K32" s="29"/>
      <c r="L32" s="30" t="s">
        <v>24</v>
      </c>
    </row>
    <row r="33">
      <c r="A33" s="32"/>
      <c r="B33" s="37"/>
      <c r="C33" s="48" t="s">
        <v>61</v>
      </c>
      <c r="D33" s="34"/>
      <c r="E33" s="44" t="s">
        <v>62</v>
      </c>
      <c r="F33" s="50"/>
      <c r="G33" s="29"/>
      <c r="H33" s="51" t="s">
        <v>327</v>
      </c>
      <c r="I33" s="29"/>
      <c r="J33" s="29"/>
      <c r="K33" s="51"/>
      <c r="L33" s="29" t="s">
        <v>327</v>
      </c>
    </row>
    <row r="34">
      <c r="A34" s="32"/>
      <c r="B34" s="45" t="s">
        <v>63</v>
      </c>
      <c r="C34" s="46" t="s">
        <v>64</v>
      </c>
      <c r="D34" s="34"/>
      <c r="E34" s="35"/>
      <c r="F34" s="36"/>
      <c r="G34" s="29"/>
      <c r="H34" s="29" t="s">
        <v>24</v>
      </c>
      <c r="I34" s="30"/>
      <c r="J34" s="29"/>
      <c r="K34" s="29"/>
      <c r="L34" s="30" t="s">
        <v>24</v>
      </c>
    </row>
    <row r="35">
      <c r="A35" s="32"/>
      <c r="B35" s="32"/>
      <c r="C35" s="46" t="s">
        <v>65</v>
      </c>
      <c r="D35" s="34"/>
      <c r="E35" s="35"/>
      <c r="F35" s="36"/>
      <c r="G35" s="29"/>
      <c r="H35" s="29" t="s">
        <v>24</v>
      </c>
      <c r="I35" s="30"/>
      <c r="J35" s="29"/>
      <c r="K35" s="29"/>
      <c r="L35" s="30" t="s">
        <v>24</v>
      </c>
    </row>
    <row r="36">
      <c r="A36" s="32"/>
      <c r="B36" s="32"/>
      <c r="C36" s="46" t="s">
        <v>66</v>
      </c>
      <c r="D36" s="34"/>
      <c r="E36" s="35"/>
      <c r="F36" s="36"/>
      <c r="G36" s="29"/>
      <c r="H36" s="29"/>
      <c r="I36" s="30"/>
      <c r="J36" s="29"/>
      <c r="K36" s="29"/>
      <c r="L36" s="30" t="s">
        <v>24</v>
      </c>
    </row>
    <row r="37">
      <c r="A37" s="32"/>
      <c r="B37" s="32"/>
      <c r="C37" s="46" t="s">
        <v>310</v>
      </c>
      <c r="D37" s="34"/>
      <c r="E37" s="35"/>
      <c r="F37" s="36"/>
      <c r="G37" s="29"/>
      <c r="H37" s="29"/>
      <c r="I37" s="30"/>
      <c r="J37" s="29"/>
      <c r="K37" s="29"/>
      <c r="L37" s="30" t="s">
        <v>24</v>
      </c>
    </row>
    <row r="38">
      <c r="A38" s="32"/>
      <c r="B38" s="32"/>
      <c r="C38" s="46" t="s">
        <v>68</v>
      </c>
      <c r="D38" s="34"/>
      <c r="E38" s="35"/>
      <c r="F38" s="36"/>
      <c r="G38" s="29"/>
      <c r="H38" s="29" t="s">
        <v>24</v>
      </c>
      <c r="I38" s="30"/>
      <c r="J38" s="29"/>
      <c r="K38" s="29"/>
      <c r="L38" s="30" t="s">
        <v>24</v>
      </c>
    </row>
    <row r="39">
      <c r="A39" s="32"/>
      <c r="B39" s="37"/>
      <c r="C39" s="33" t="s">
        <v>69</v>
      </c>
      <c r="D39" s="34"/>
      <c r="E39" s="35"/>
      <c r="F39" s="36"/>
      <c r="G39" s="29"/>
      <c r="H39" s="29" t="s">
        <v>24</v>
      </c>
      <c r="I39" s="30"/>
      <c r="J39" s="29"/>
      <c r="K39" s="29"/>
      <c r="L39" s="30" t="s">
        <v>24</v>
      </c>
    </row>
    <row r="40">
      <c r="A40" s="32"/>
      <c r="B40" s="45" t="s">
        <v>70</v>
      </c>
      <c r="C40" s="46" t="s">
        <v>71</v>
      </c>
      <c r="D40" s="34"/>
      <c r="E40" s="35"/>
      <c r="F40" s="36"/>
      <c r="G40" s="29"/>
      <c r="H40" s="29" t="s">
        <v>24</v>
      </c>
      <c r="I40" s="30"/>
      <c r="J40" s="29"/>
      <c r="K40" s="29"/>
      <c r="L40" s="30" t="s">
        <v>24</v>
      </c>
    </row>
    <row r="41">
      <c r="A41" s="32"/>
      <c r="B41" s="37"/>
      <c r="C41" s="46" t="s">
        <v>72</v>
      </c>
      <c r="D41" s="34"/>
      <c r="E41" s="35"/>
      <c r="F41" s="36"/>
      <c r="G41" s="29"/>
      <c r="H41" s="29" t="s">
        <v>24</v>
      </c>
      <c r="I41" s="30"/>
      <c r="J41" s="29"/>
      <c r="K41" s="29"/>
      <c r="L41" s="30" t="s">
        <v>24</v>
      </c>
    </row>
    <row r="42">
      <c r="A42" s="32"/>
      <c r="B42" s="53" t="s">
        <v>73</v>
      </c>
      <c r="C42" s="46" t="s">
        <v>74</v>
      </c>
      <c r="D42" s="34"/>
      <c r="E42" s="54"/>
      <c r="F42" s="50"/>
      <c r="G42" s="29"/>
      <c r="H42" s="29" t="s">
        <v>24</v>
      </c>
      <c r="I42" s="30"/>
      <c r="J42" s="29"/>
      <c r="K42" s="29"/>
      <c r="L42" s="30" t="s">
        <v>24</v>
      </c>
    </row>
    <row r="43">
      <c r="A43" s="32"/>
      <c r="B43" s="32"/>
      <c r="C43" s="55" t="s">
        <v>75</v>
      </c>
      <c r="D43" s="34"/>
      <c r="E43" s="54"/>
      <c r="F43" s="56"/>
      <c r="G43" s="29"/>
      <c r="H43" s="29" t="s">
        <v>24</v>
      </c>
      <c r="I43" s="30"/>
      <c r="J43" s="29"/>
      <c r="K43" s="29"/>
      <c r="L43" s="30" t="s">
        <v>24</v>
      </c>
    </row>
    <row r="44">
      <c r="A44" s="32"/>
      <c r="B44" s="32"/>
      <c r="C44" s="46" t="s">
        <v>76</v>
      </c>
      <c r="D44" s="34"/>
      <c r="E44" s="44" t="s">
        <v>77</v>
      </c>
      <c r="F44" s="36"/>
      <c r="G44" s="29"/>
      <c r="H44" s="29" t="s">
        <v>24</v>
      </c>
      <c r="I44" s="29"/>
      <c r="J44" s="29"/>
      <c r="K44" s="29"/>
      <c r="L44" s="29" t="s">
        <v>24</v>
      </c>
    </row>
    <row r="45">
      <c r="A45" s="32"/>
      <c r="B45" s="37"/>
      <c r="C45" s="57" t="s">
        <v>78</v>
      </c>
      <c r="D45" s="34"/>
      <c r="F45" s="36"/>
      <c r="G45" s="29"/>
      <c r="H45" s="29" t="s">
        <v>24</v>
      </c>
      <c r="I45" s="29"/>
      <c r="J45" s="29"/>
      <c r="K45" s="29"/>
      <c r="L45" s="29" t="s">
        <v>24</v>
      </c>
    </row>
    <row r="46">
      <c r="A46" s="32"/>
      <c r="B46" s="45" t="s">
        <v>79</v>
      </c>
      <c r="C46" s="46" t="s">
        <v>80</v>
      </c>
      <c r="D46" s="34"/>
      <c r="E46" s="35"/>
      <c r="F46" s="36"/>
      <c r="G46" s="29"/>
      <c r="H46" s="29" t="s">
        <v>24</v>
      </c>
      <c r="I46" s="42"/>
      <c r="J46" s="29"/>
      <c r="K46" s="29"/>
      <c r="L46" s="42"/>
    </row>
    <row r="47">
      <c r="A47" s="32"/>
      <c r="B47" s="32"/>
      <c r="C47" s="55" t="s">
        <v>81</v>
      </c>
      <c r="D47" s="34"/>
      <c r="E47" s="35"/>
      <c r="F47" s="36"/>
      <c r="G47" s="29"/>
      <c r="H47" s="29" t="s">
        <v>24</v>
      </c>
      <c r="I47" s="29"/>
      <c r="J47" s="29"/>
      <c r="K47" s="29"/>
      <c r="L47" s="29"/>
    </row>
    <row r="48">
      <c r="A48" s="32"/>
      <c r="B48" s="32"/>
      <c r="C48" s="55" t="s">
        <v>82</v>
      </c>
      <c r="D48" s="34"/>
      <c r="E48" s="35"/>
      <c r="F48" s="58" t="s">
        <v>83</v>
      </c>
      <c r="G48" s="29"/>
      <c r="H48" s="29" t="s">
        <v>24</v>
      </c>
      <c r="I48" s="29"/>
      <c r="J48" s="29"/>
      <c r="K48" s="29"/>
      <c r="L48" s="29"/>
    </row>
    <row r="49">
      <c r="A49" s="32"/>
      <c r="B49" s="37"/>
      <c r="C49" s="55" t="s">
        <v>84</v>
      </c>
      <c r="D49" s="34"/>
      <c r="E49" s="35"/>
      <c r="F49" s="56"/>
      <c r="G49" s="29"/>
      <c r="H49" s="29"/>
      <c r="I49" s="29"/>
      <c r="J49" s="29"/>
      <c r="K49" s="29"/>
      <c r="L49" s="29"/>
    </row>
    <row r="50">
      <c r="A50" s="32"/>
      <c r="B50" s="45" t="s">
        <v>85</v>
      </c>
      <c r="C50" s="59" t="s">
        <v>86</v>
      </c>
      <c r="D50" s="34"/>
      <c r="E50" s="44" t="s">
        <v>34</v>
      </c>
      <c r="F50" s="56"/>
      <c r="G50" s="30"/>
      <c r="H50" s="29" t="s">
        <v>24</v>
      </c>
      <c r="I50" s="29"/>
      <c r="J50" s="30"/>
      <c r="K50" s="29"/>
      <c r="L50" s="29" t="s">
        <v>24</v>
      </c>
    </row>
    <row r="51">
      <c r="A51" s="32"/>
      <c r="B51" s="32"/>
      <c r="C51" s="60" t="s">
        <v>87</v>
      </c>
      <c r="D51" s="34"/>
      <c r="E51" s="34"/>
      <c r="F51" s="58" t="s">
        <v>38</v>
      </c>
      <c r="G51" s="30"/>
      <c r="H51" s="29" t="s">
        <v>24</v>
      </c>
      <c r="I51" s="29"/>
      <c r="J51" s="30"/>
      <c r="K51" s="29"/>
      <c r="L51" s="29" t="s">
        <v>24</v>
      </c>
    </row>
    <row r="52">
      <c r="A52" s="32"/>
      <c r="B52" s="32"/>
      <c r="C52" s="61" t="s">
        <v>88</v>
      </c>
      <c r="D52" s="34"/>
      <c r="E52" s="34"/>
      <c r="F52" s="56"/>
      <c r="G52" s="30"/>
      <c r="H52" s="30" t="s">
        <v>24</v>
      </c>
      <c r="I52" s="29"/>
      <c r="J52" s="30"/>
      <c r="K52" s="30"/>
      <c r="L52" s="29" t="s">
        <v>24</v>
      </c>
    </row>
    <row r="53">
      <c r="A53" s="32"/>
      <c r="B53" s="32"/>
      <c r="C53" s="55" t="s">
        <v>89</v>
      </c>
      <c r="D53" s="34"/>
      <c r="E53" s="35"/>
      <c r="F53" s="36"/>
      <c r="G53" s="30"/>
      <c r="H53" s="30" t="s">
        <v>24</v>
      </c>
      <c r="I53" s="29"/>
      <c r="J53" s="30"/>
      <c r="K53" s="30"/>
      <c r="L53" s="29" t="s">
        <v>24</v>
      </c>
    </row>
    <row r="54">
      <c r="A54" s="32"/>
      <c r="B54" s="32"/>
      <c r="C54" s="55" t="s">
        <v>90</v>
      </c>
      <c r="D54" s="34"/>
      <c r="E54" s="35"/>
      <c r="F54" s="36"/>
      <c r="G54" s="30"/>
      <c r="H54" s="30" t="s">
        <v>24</v>
      </c>
      <c r="I54" s="29"/>
      <c r="J54" s="30"/>
      <c r="K54" s="30"/>
      <c r="L54" s="29" t="s">
        <v>24</v>
      </c>
    </row>
    <row r="55">
      <c r="A55" s="32"/>
      <c r="B55" s="32"/>
      <c r="C55" s="62" t="s">
        <v>91</v>
      </c>
      <c r="D55" s="34"/>
      <c r="E55" s="35"/>
      <c r="F55" s="36"/>
      <c r="G55" s="30"/>
      <c r="H55" s="30" t="s">
        <v>24</v>
      </c>
      <c r="I55" s="29"/>
      <c r="J55" s="30"/>
      <c r="K55" s="30"/>
      <c r="L55" s="29" t="s">
        <v>24</v>
      </c>
    </row>
    <row r="56">
      <c r="A56" s="32"/>
      <c r="B56" s="37"/>
      <c r="C56" s="55" t="s">
        <v>92</v>
      </c>
      <c r="D56" s="34"/>
      <c r="E56" s="35"/>
      <c r="F56" s="56"/>
      <c r="G56" s="30"/>
      <c r="H56" s="30" t="s">
        <v>24</v>
      </c>
      <c r="I56" s="29"/>
      <c r="J56" s="30"/>
      <c r="K56" s="30"/>
      <c r="L56" s="29" t="s">
        <v>24</v>
      </c>
    </row>
    <row r="57">
      <c r="A57" s="32"/>
      <c r="B57" s="45" t="s">
        <v>93</v>
      </c>
      <c r="C57" s="63" t="s">
        <v>94</v>
      </c>
      <c r="D57" s="34"/>
      <c r="E57" s="35"/>
      <c r="F57" s="56"/>
      <c r="G57" s="30"/>
      <c r="H57" s="30" t="s">
        <v>24</v>
      </c>
      <c r="I57" s="29"/>
      <c r="J57" s="30"/>
      <c r="K57" s="30"/>
      <c r="L57" s="29" t="s">
        <v>24</v>
      </c>
    </row>
    <row r="58">
      <c r="A58" s="32"/>
      <c r="B58" s="37"/>
      <c r="C58" s="64" t="s">
        <v>95</v>
      </c>
      <c r="D58" s="34"/>
      <c r="E58" s="65" t="s">
        <v>96</v>
      </c>
      <c r="F58" s="56" t="s">
        <v>311</v>
      </c>
      <c r="G58" s="30"/>
      <c r="H58" s="30" t="s">
        <v>24</v>
      </c>
      <c r="I58" s="29"/>
      <c r="J58" s="30"/>
      <c r="K58" s="30"/>
      <c r="L58" s="29" t="s">
        <v>24</v>
      </c>
    </row>
    <row r="59">
      <c r="A59" s="32"/>
      <c r="B59" s="45" t="s">
        <v>98</v>
      </c>
      <c r="C59" s="60" t="s">
        <v>99</v>
      </c>
      <c r="D59" s="34"/>
      <c r="E59" s="44" t="s">
        <v>100</v>
      </c>
      <c r="F59" s="58" t="s">
        <v>101</v>
      </c>
      <c r="G59" s="29"/>
      <c r="H59" s="29" t="s">
        <v>24</v>
      </c>
      <c r="I59" s="29"/>
      <c r="J59" s="29"/>
      <c r="K59" s="29"/>
      <c r="L59" s="29" t="s">
        <v>24</v>
      </c>
    </row>
    <row r="60">
      <c r="A60" s="32"/>
      <c r="B60" s="32"/>
      <c r="C60" s="49" t="s">
        <v>102</v>
      </c>
      <c r="D60" s="34"/>
      <c r="E60" s="67" t="s">
        <v>100</v>
      </c>
      <c r="F60" s="58" t="s">
        <v>103</v>
      </c>
      <c r="G60" s="30"/>
      <c r="H60" s="30" t="s">
        <v>24</v>
      </c>
      <c r="I60" s="29"/>
      <c r="J60" s="30"/>
      <c r="K60" s="30"/>
      <c r="L60" s="29" t="s">
        <v>24</v>
      </c>
    </row>
    <row r="61">
      <c r="A61" s="32"/>
      <c r="B61" s="32"/>
      <c r="C61" s="46" t="s">
        <v>104</v>
      </c>
      <c r="D61" s="34"/>
      <c r="E61" s="34"/>
      <c r="F61" s="56" t="s">
        <v>105</v>
      </c>
      <c r="G61" s="30"/>
      <c r="H61" s="30"/>
      <c r="I61" s="30"/>
      <c r="J61" s="30"/>
      <c r="K61" s="30"/>
      <c r="L61" s="30"/>
    </row>
    <row r="62">
      <c r="A62" s="37"/>
      <c r="B62" s="37"/>
      <c r="C62" s="68" t="s">
        <v>106</v>
      </c>
      <c r="D62" s="69"/>
      <c r="E62" s="69"/>
      <c r="F62" s="70" t="s">
        <v>107</v>
      </c>
      <c r="G62" s="30"/>
      <c r="H62" s="30"/>
      <c r="I62" s="30"/>
      <c r="J62" s="30"/>
      <c r="K62" s="30"/>
      <c r="L62" s="30" t="s">
        <v>24</v>
      </c>
    </row>
    <row r="63">
      <c r="A63" s="71" t="s">
        <v>108</v>
      </c>
      <c r="B63" s="72" t="s">
        <v>109</v>
      </c>
      <c r="C63" s="73" t="s">
        <v>110</v>
      </c>
      <c r="D63" s="74"/>
      <c r="E63" s="74"/>
      <c r="F63" s="75"/>
      <c r="G63" s="30"/>
      <c r="H63" s="30" t="s">
        <v>24</v>
      </c>
      <c r="I63" s="30"/>
      <c r="J63" s="30"/>
      <c r="K63" s="30"/>
      <c r="L63" s="30"/>
    </row>
    <row r="64">
      <c r="A64" s="32"/>
      <c r="B64" s="32"/>
      <c r="C64" s="77" t="s">
        <v>112</v>
      </c>
      <c r="D64" s="78"/>
      <c r="E64" s="78"/>
      <c r="F64" s="79"/>
      <c r="G64" s="30"/>
      <c r="H64" s="30" t="s">
        <v>24</v>
      </c>
      <c r="I64" s="30"/>
      <c r="J64" s="30"/>
      <c r="K64" s="30"/>
      <c r="L64" s="30" t="s">
        <v>24</v>
      </c>
    </row>
    <row r="65">
      <c r="A65" s="32"/>
      <c r="B65" s="32"/>
      <c r="C65" s="80" t="s">
        <v>113</v>
      </c>
      <c r="D65" s="78"/>
      <c r="E65" s="81"/>
      <c r="F65" s="183" t="s">
        <v>38</v>
      </c>
      <c r="G65" s="30"/>
      <c r="H65" s="30" t="s">
        <v>24</v>
      </c>
      <c r="I65" s="30"/>
      <c r="J65" s="30"/>
      <c r="K65" s="30"/>
      <c r="L65" s="30" t="s">
        <v>24</v>
      </c>
    </row>
    <row r="66">
      <c r="A66" s="32"/>
      <c r="B66" s="32"/>
      <c r="C66" s="83" t="s">
        <v>114</v>
      </c>
      <c r="D66" s="78"/>
      <c r="E66" s="184" t="s">
        <v>115</v>
      </c>
      <c r="F66" s="79"/>
      <c r="G66" s="30"/>
      <c r="H66" s="30" t="s">
        <v>24</v>
      </c>
      <c r="I66" s="30"/>
      <c r="J66" s="30"/>
      <c r="K66" s="30"/>
      <c r="L66" s="30" t="s">
        <v>24</v>
      </c>
    </row>
    <row r="67">
      <c r="A67" s="32"/>
      <c r="B67" s="32"/>
      <c r="C67" s="85" t="s">
        <v>116</v>
      </c>
      <c r="D67" s="78"/>
      <c r="E67" s="78"/>
      <c r="F67" s="89" t="s">
        <v>117</v>
      </c>
      <c r="G67" s="30"/>
      <c r="H67" s="30" t="s">
        <v>24</v>
      </c>
      <c r="I67" s="30"/>
      <c r="J67" s="30"/>
      <c r="K67" s="30"/>
      <c r="L67" s="30" t="s">
        <v>24</v>
      </c>
    </row>
    <row r="68">
      <c r="A68" s="32"/>
      <c r="B68" s="32"/>
      <c r="C68" s="87" t="s">
        <v>118</v>
      </c>
      <c r="D68" s="78"/>
      <c r="E68" s="88" t="s">
        <v>312</v>
      </c>
      <c r="F68" s="89"/>
      <c r="G68" s="30"/>
      <c r="H68" s="30" t="s">
        <v>24</v>
      </c>
      <c r="I68" s="30"/>
      <c r="J68" s="30"/>
      <c r="K68" s="30"/>
      <c r="L68" s="30" t="s">
        <v>24</v>
      </c>
    </row>
    <row r="69">
      <c r="A69" s="32"/>
      <c r="B69" s="32"/>
      <c r="C69" s="90" t="s">
        <v>120</v>
      </c>
      <c r="D69" s="78"/>
      <c r="E69" s="184" t="s">
        <v>121</v>
      </c>
      <c r="F69" s="89" t="s">
        <v>122</v>
      </c>
      <c r="G69" s="30"/>
      <c r="H69" s="30" t="s">
        <v>24</v>
      </c>
      <c r="I69" s="30"/>
      <c r="J69" s="30"/>
      <c r="K69" s="30"/>
      <c r="L69" s="30" t="s">
        <v>24</v>
      </c>
    </row>
    <row r="70">
      <c r="A70" s="32"/>
      <c r="B70" s="32"/>
      <c r="C70" s="91" t="s">
        <v>123</v>
      </c>
      <c r="D70" s="78"/>
      <c r="E70" s="78"/>
      <c r="F70" s="89" t="s">
        <v>124</v>
      </c>
      <c r="G70" s="30"/>
      <c r="H70" s="30" t="s">
        <v>24</v>
      </c>
      <c r="I70" s="30"/>
      <c r="J70" s="30"/>
      <c r="K70" s="30"/>
      <c r="L70" s="30" t="s">
        <v>24</v>
      </c>
    </row>
    <row r="71">
      <c r="A71" s="32"/>
      <c r="B71" s="32"/>
      <c r="C71" s="92" t="s">
        <v>125</v>
      </c>
      <c r="D71" s="78"/>
      <c r="E71" s="78"/>
      <c r="F71" s="89" t="s">
        <v>126</v>
      </c>
      <c r="G71" s="30"/>
      <c r="H71" s="30" t="s">
        <v>24</v>
      </c>
      <c r="I71" s="30"/>
      <c r="J71" s="30"/>
      <c r="K71" s="30"/>
      <c r="L71" s="30" t="s">
        <v>24</v>
      </c>
    </row>
    <row r="72">
      <c r="A72" s="32"/>
      <c r="B72" s="32"/>
      <c r="C72" s="77" t="s">
        <v>127</v>
      </c>
      <c r="D72" s="78"/>
      <c r="E72" s="78"/>
      <c r="F72" s="89" t="s">
        <v>128</v>
      </c>
      <c r="G72" s="30"/>
      <c r="H72" s="29" t="s">
        <v>24</v>
      </c>
      <c r="I72" s="30"/>
      <c r="J72" s="30"/>
      <c r="K72" s="29"/>
      <c r="L72" s="30" t="s">
        <v>24</v>
      </c>
    </row>
    <row r="73">
      <c r="A73" s="32"/>
      <c r="B73" s="32"/>
      <c r="C73" s="93" t="s">
        <v>129</v>
      </c>
      <c r="D73" s="78"/>
      <c r="E73" s="185" t="s">
        <v>313</v>
      </c>
      <c r="F73" s="79"/>
      <c r="G73" s="30"/>
      <c r="H73" s="30" t="s">
        <v>24</v>
      </c>
      <c r="I73" s="30"/>
      <c r="J73" s="30"/>
      <c r="K73" s="30"/>
      <c r="L73" s="30" t="s">
        <v>24</v>
      </c>
    </row>
    <row r="74">
      <c r="A74" s="32"/>
      <c r="B74" s="32"/>
      <c r="C74" s="95" t="s">
        <v>131</v>
      </c>
      <c r="D74" s="78"/>
      <c r="E74" s="78"/>
      <c r="F74" s="79"/>
      <c r="G74" s="30"/>
      <c r="H74" s="30" t="s">
        <v>24</v>
      </c>
      <c r="I74" s="30"/>
      <c r="J74" s="30"/>
      <c r="K74" s="30"/>
      <c r="L74" s="30"/>
    </row>
    <row r="75">
      <c r="A75" s="32"/>
      <c r="B75" s="32"/>
      <c r="C75" s="96" t="s">
        <v>132</v>
      </c>
      <c r="D75" s="78"/>
      <c r="E75" s="78"/>
      <c r="F75" s="97" t="s">
        <v>133</v>
      </c>
      <c r="G75" s="29"/>
      <c r="H75" s="29" t="s">
        <v>24</v>
      </c>
      <c r="I75" s="29"/>
      <c r="J75" s="29"/>
      <c r="K75" s="29"/>
      <c r="L75" s="29" t="s">
        <v>24</v>
      </c>
    </row>
    <row r="76">
      <c r="A76" s="32"/>
      <c r="B76" s="32"/>
      <c r="C76" s="98" t="s">
        <v>134</v>
      </c>
      <c r="D76" s="78"/>
      <c r="E76" s="186" t="s">
        <v>135</v>
      </c>
      <c r="F76" s="97" t="s">
        <v>136</v>
      </c>
      <c r="G76" s="29"/>
      <c r="H76" s="29" t="s">
        <v>24</v>
      </c>
      <c r="I76" s="29"/>
      <c r="J76" s="29"/>
      <c r="K76" s="29"/>
      <c r="L76" s="29" t="s">
        <v>24</v>
      </c>
    </row>
    <row r="77">
      <c r="A77" s="32"/>
      <c r="B77" s="32"/>
      <c r="C77" s="92" t="s">
        <v>137</v>
      </c>
      <c r="D77" s="78"/>
      <c r="E77" s="78"/>
      <c r="F77" s="79"/>
      <c r="G77" s="29"/>
      <c r="H77" s="29" t="s">
        <v>24</v>
      </c>
      <c r="I77" s="29"/>
      <c r="J77" s="29"/>
      <c r="K77" s="29"/>
      <c r="L77" s="29"/>
    </row>
    <row r="78">
      <c r="A78" s="32"/>
      <c r="B78" s="32"/>
      <c r="C78" s="92" t="s">
        <v>138</v>
      </c>
      <c r="D78" s="78"/>
      <c r="E78" s="78"/>
      <c r="F78" s="79"/>
      <c r="G78" s="29"/>
      <c r="H78" s="29" t="s">
        <v>24</v>
      </c>
      <c r="I78" s="29"/>
      <c r="J78" s="29"/>
      <c r="K78" s="29"/>
      <c r="L78" s="29"/>
    </row>
    <row r="79">
      <c r="A79" s="32"/>
      <c r="B79" s="37"/>
      <c r="C79" s="101" t="s">
        <v>139</v>
      </c>
      <c r="D79" s="78"/>
      <c r="E79" s="78"/>
      <c r="F79" s="79"/>
      <c r="G79" s="29"/>
      <c r="H79" s="29" t="s">
        <v>24</v>
      </c>
      <c r="I79" s="29"/>
      <c r="J79" s="29"/>
      <c r="K79" s="29"/>
      <c r="L79" s="29"/>
    </row>
    <row r="80">
      <c r="A80" s="32"/>
      <c r="B80" s="102" t="s">
        <v>140</v>
      </c>
      <c r="C80" s="103" t="s">
        <v>141</v>
      </c>
      <c r="D80" s="186" t="s">
        <v>142</v>
      </c>
      <c r="E80" s="187" t="s">
        <v>314</v>
      </c>
      <c r="F80" s="79"/>
      <c r="G80" s="29"/>
      <c r="H80" s="105" t="s">
        <v>144</v>
      </c>
      <c r="I80" s="105"/>
      <c r="J80" s="29" t="s">
        <v>144</v>
      </c>
      <c r="K80" s="105"/>
      <c r="L80" s="105" t="s">
        <v>144</v>
      </c>
    </row>
    <row r="81">
      <c r="A81" s="32"/>
      <c r="B81" s="32"/>
      <c r="C81" s="106" t="s">
        <v>145</v>
      </c>
      <c r="D81" s="78"/>
      <c r="E81" s="78"/>
      <c r="F81" s="89"/>
      <c r="G81" s="29"/>
      <c r="H81" s="29" t="s">
        <v>24</v>
      </c>
      <c r="I81" s="29"/>
      <c r="J81" s="29"/>
      <c r="K81" s="29"/>
      <c r="L81" s="29"/>
    </row>
    <row r="82">
      <c r="A82" s="32"/>
      <c r="B82" s="32"/>
      <c r="C82" s="93" t="s">
        <v>146</v>
      </c>
      <c r="D82" s="78"/>
      <c r="E82" s="78"/>
      <c r="F82" s="89" t="s">
        <v>147</v>
      </c>
      <c r="G82" s="29"/>
      <c r="H82" s="29" t="s">
        <v>24</v>
      </c>
      <c r="I82" s="29"/>
      <c r="J82" s="29"/>
      <c r="K82" s="29"/>
      <c r="L82" s="29" t="s">
        <v>24</v>
      </c>
    </row>
    <row r="83">
      <c r="A83" s="32"/>
      <c r="B83" s="32"/>
      <c r="C83" s="107" t="s">
        <v>148</v>
      </c>
      <c r="D83" s="78"/>
      <c r="E83" s="78"/>
      <c r="F83" s="89" t="s">
        <v>149</v>
      </c>
      <c r="G83" s="29"/>
      <c r="H83" s="29" t="s">
        <v>24</v>
      </c>
      <c r="I83" s="29"/>
      <c r="J83" s="29"/>
      <c r="K83" s="29"/>
      <c r="L83" s="29" t="s">
        <v>24</v>
      </c>
    </row>
    <row r="84">
      <c r="A84" s="32"/>
      <c r="B84" s="32"/>
      <c r="C84" s="108" t="s">
        <v>150</v>
      </c>
      <c r="D84" s="78"/>
      <c r="E84" s="78"/>
      <c r="F84" s="89" t="s">
        <v>149</v>
      </c>
      <c r="G84" s="30"/>
      <c r="H84" s="30" t="s">
        <v>24</v>
      </c>
      <c r="I84" s="29"/>
      <c r="J84" s="30"/>
      <c r="K84" s="30"/>
      <c r="L84" s="29" t="s">
        <v>24</v>
      </c>
    </row>
    <row r="85">
      <c r="A85" s="32"/>
      <c r="B85" s="32"/>
      <c r="C85" s="109" t="s">
        <v>151</v>
      </c>
      <c r="D85" s="78"/>
      <c r="E85" s="186" t="s">
        <v>152</v>
      </c>
      <c r="F85" s="183" t="s">
        <v>153</v>
      </c>
      <c r="G85" s="30"/>
      <c r="H85" s="30" t="s">
        <v>24</v>
      </c>
      <c r="I85" s="29"/>
      <c r="J85" s="30"/>
      <c r="K85" s="30"/>
      <c r="L85" s="29" t="s">
        <v>24</v>
      </c>
    </row>
    <row r="86">
      <c r="A86" s="32"/>
      <c r="B86" s="32"/>
      <c r="C86" s="110" t="s">
        <v>154</v>
      </c>
      <c r="D86" s="78"/>
      <c r="E86" s="78"/>
      <c r="F86" s="79"/>
      <c r="G86" s="30"/>
      <c r="H86" s="30" t="s">
        <v>24</v>
      </c>
      <c r="I86" s="30"/>
      <c r="J86" s="30"/>
      <c r="K86" s="30"/>
      <c r="L86" s="30"/>
    </row>
    <row r="87">
      <c r="A87" s="32"/>
      <c r="B87" s="32"/>
      <c r="C87" s="111" t="s">
        <v>155</v>
      </c>
      <c r="D87" s="78"/>
      <c r="E87" s="78"/>
      <c r="F87" s="97" t="s">
        <v>156</v>
      </c>
      <c r="G87" s="30"/>
      <c r="H87" s="30" t="s">
        <v>24</v>
      </c>
      <c r="I87" s="30"/>
      <c r="J87" s="30"/>
      <c r="K87" s="30"/>
      <c r="L87" s="30"/>
    </row>
    <row r="88">
      <c r="A88" s="32"/>
      <c r="B88" s="32"/>
      <c r="C88" s="112" t="s">
        <v>157</v>
      </c>
      <c r="D88" s="78"/>
      <c r="E88" s="184" t="s">
        <v>158</v>
      </c>
      <c r="F88" s="79"/>
      <c r="G88" s="30"/>
      <c r="H88" s="30" t="s">
        <v>24</v>
      </c>
      <c r="I88" s="30"/>
      <c r="J88" s="30"/>
      <c r="K88" s="30"/>
      <c r="L88" s="30" t="s">
        <v>24</v>
      </c>
    </row>
    <row r="89">
      <c r="A89" s="32"/>
      <c r="B89" s="32"/>
      <c r="C89" s="83" t="s">
        <v>159</v>
      </c>
      <c r="D89" s="78"/>
      <c r="E89" s="186" t="s">
        <v>160</v>
      </c>
      <c r="F89" s="79"/>
      <c r="G89" s="30"/>
      <c r="H89" s="30" t="s">
        <v>24</v>
      </c>
      <c r="I89" s="30"/>
      <c r="J89" s="30"/>
      <c r="K89" s="30"/>
      <c r="L89" s="30" t="s">
        <v>24</v>
      </c>
    </row>
    <row r="90">
      <c r="A90" s="32"/>
      <c r="B90" s="32"/>
      <c r="C90" s="93" t="s">
        <v>161</v>
      </c>
      <c r="D90" s="78"/>
      <c r="E90" s="78"/>
      <c r="F90" s="79"/>
      <c r="G90" s="30"/>
      <c r="H90" s="30" t="s">
        <v>24</v>
      </c>
      <c r="I90" s="30"/>
      <c r="J90" s="30"/>
      <c r="K90" s="30"/>
      <c r="L90" s="30" t="s">
        <v>24</v>
      </c>
    </row>
    <row r="91">
      <c r="A91" s="32"/>
      <c r="B91" s="32"/>
      <c r="C91" s="93" t="s">
        <v>162</v>
      </c>
      <c r="D91" s="78"/>
      <c r="E91" s="186" t="s">
        <v>163</v>
      </c>
      <c r="F91" s="113"/>
      <c r="G91" s="30"/>
      <c r="H91" s="30" t="s">
        <v>24</v>
      </c>
      <c r="I91" s="30"/>
      <c r="J91" s="30"/>
      <c r="K91" s="30"/>
      <c r="L91" s="30" t="s">
        <v>24</v>
      </c>
    </row>
    <row r="92">
      <c r="A92" s="32"/>
      <c r="B92" s="32"/>
      <c r="C92" s="106" t="s">
        <v>164</v>
      </c>
      <c r="D92" s="78"/>
      <c r="E92" s="78"/>
      <c r="F92" s="114" t="s">
        <v>165</v>
      </c>
      <c r="G92" s="30"/>
      <c r="H92" s="30"/>
      <c r="I92" s="30"/>
      <c r="J92" s="30"/>
      <c r="K92" s="30"/>
      <c r="L92" s="30" t="s">
        <v>24</v>
      </c>
    </row>
    <row r="93">
      <c r="A93" s="32"/>
      <c r="B93" s="32"/>
      <c r="C93" s="106" t="s">
        <v>166</v>
      </c>
      <c r="D93" s="78"/>
      <c r="E93" s="78"/>
      <c r="F93" s="183" t="s">
        <v>167</v>
      </c>
      <c r="G93" s="30"/>
      <c r="H93" s="30" t="s">
        <v>24</v>
      </c>
      <c r="I93" s="30"/>
      <c r="J93" s="30"/>
      <c r="K93" s="30"/>
      <c r="L93" s="30" t="s">
        <v>24</v>
      </c>
    </row>
    <row r="94">
      <c r="A94" s="32"/>
      <c r="B94" s="37"/>
      <c r="C94" s="93" t="s">
        <v>168</v>
      </c>
      <c r="D94" s="78"/>
      <c r="E94" s="78"/>
      <c r="F94" s="79"/>
      <c r="G94" s="30"/>
      <c r="H94" s="30" t="s">
        <v>24</v>
      </c>
      <c r="I94" s="30"/>
      <c r="J94" s="30"/>
      <c r="K94" s="30"/>
      <c r="L94" s="30" t="s">
        <v>24</v>
      </c>
    </row>
    <row r="95">
      <c r="A95" s="32"/>
      <c r="B95" s="115" t="s">
        <v>169</v>
      </c>
      <c r="C95" s="85" t="s">
        <v>141</v>
      </c>
      <c r="D95" s="78"/>
      <c r="E95" s="78"/>
      <c r="F95" s="89" t="s">
        <v>170</v>
      </c>
      <c r="G95" s="30"/>
      <c r="H95" s="30" t="s">
        <v>24</v>
      </c>
      <c r="I95" s="30"/>
      <c r="J95" s="30"/>
      <c r="K95" s="30"/>
      <c r="L95" s="30" t="s">
        <v>24</v>
      </c>
    </row>
    <row r="96">
      <c r="A96" s="32"/>
      <c r="B96" s="32"/>
      <c r="C96" s="85" t="s">
        <v>171</v>
      </c>
      <c r="D96" s="186" t="s">
        <v>172</v>
      </c>
      <c r="E96" s="78"/>
      <c r="F96" s="183" t="s">
        <v>173</v>
      </c>
      <c r="G96" s="30"/>
      <c r="H96" s="30" t="s">
        <v>144</v>
      </c>
      <c r="I96" s="30"/>
      <c r="J96" s="30" t="s">
        <v>144</v>
      </c>
      <c r="K96" s="30"/>
      <c r="L96" s="30" t="s">
        <v>144</v>
      </c>
    </row>
    <row r="97">
      <c r="A97" s="32"/>
      <c r="B97" s="32"/>
      <c r="C97" s="116" t="s">
        <v>315</v>
      </c>
      <c r="D97" s="78"/>
      <c r="E97" s="78"/>
      <c r="F97" s="117" t="s">
        <v>176</v>
      </c>
      <c r="G97" s="30"/>
      <c r="H97" s="30"/>
      <c r="I97" s="30"/>
      <c r="J97" s="30"/>
      <c r="K97" s="30"/>
      <c r="L97" s="30"/>
    </row>
    <row r="98">
      <c r="A98" s="32"/>
      <c r="B98" s="37"/>
      <c r="C98" s="77" t="s">
        <v>177</v>
      </c>
      <c r="D98" s="78"/>
      <c r="E98" s="78"/>
      <c r="F98" s="79"/>
      <c r="G98" s="30"/>
      <c r="H98" s="30"/>
      <c r="I98" s="30"/>
      <c r="J98" s="30"/>
      <c r="K98" s="30"/>
      <c r="L98" s="30"/>
    </row>
    <row r="99">
      <c r="A99" s="32"/>
      <c r="B99" s="102" t="s">
        <v>178</v>
      </c>
      <c r="C99" s="93" t="s">
        <v>179</v>
      </c>
      <c r="D99" s="78"/>
      <c r="E99" s="78"/>
      <c r="F99" s="79"/>
      <c r="G99" s="30"/>
      <c r="H99" s="30" t="s">
        <v>24</v>
      </c>
      <c r="I99" s="30"/>
      <c r="J99" s="30"/>
      <c r="K99" s="30"/>
      <c r="L99" s="30" t="s">
        <v>24</v>
      </c>
    </row>
    <row r="100">
      <c r="A100" s="32"/>
      <c r="B100" s="32"/>
      <c r="C100" s="93" t="s">
        <v>141</v>
      </c>
      <c r="D100" s="78"/>
      <c r="E100" s="186" t="s">
        <v>180</v>
      </c>
      <c r="F100" s="79"/>
      <c r="G100" s="30"/>
      <c r="H100" s="30" t="s">
        <v>24</v>
      </c>
      <c r="I100" s="30"/>
      <c r="J100" s="30"/>
      <c r="K100" s="30"/>
      <c r="L100" s="30" t="s">
        <v>24</v>
      </c>
    </row>
    <row r="101">
      <c r="A101" s="32"/>
      <c r="B101" s="32"/>
      <c r="C101" s="106" t="s">
        <v>181</v>
      </c>
      <c r="D101" s="78"/>
      <c r="E101" s="78"/>
      <c r="F101" s="89" t="s">
        <v>182</v>
      </c>
      <c r="G101" s="30"/>
      <c r="H101" s="30"/>
      <c r="I101" s="30"/>
      <c r="J101" s="30"/>
      <c r="K101" s="30"/>
      <c r="L101" s="30" t="s">
        <v>24</v>
      </c>
    </row>
    <row r="102">
      <c r="A102" s="32"/>
      <c r="B102" s="32"/>
      <c r="C102" s="93" t="s">
        <v>183</v>
      </c>
      <c r="D102" s="78"/>
      <c r="E102" s="78"/>
      <c r="F102" s="79"/>
      <c r="G102" s="30"/>
      <c r="H102" s="30" t="s">
        <v>24</v>
      </c>
      <c r="I102" s="30"/>
      <c r="J102" s="30"/>
      <c r="K102" s="30"/>
      <c r="L102" s="30" t="s">
        <v>24</v>
      </c>
    </row>
    <row r="103">
      <c r="A103" s="32"/>
      <c r="B103" s="32"/>
      <c r="C103" s="93" t="s">
        <v>184</v>
      </c>
      <c r="D103" s="78"/>
      <c r="E103" s="78"/>
      <c r="F103" s="79"/>
      <c r="G103" s="30"/>
      <c r="H103" s="30" t="s">
        <v>24</v>
      </c>
      <c r="I103" s="30"/>
      <c r="J103" s="30"/>
      <c r="K103" s="30"/>
      <c r="L103" s="30" t="s">
        <v>24</v>
      </c>
    </row>
    <row r="104">
      <c r="A104" s="32"/>
      <c r="B104" s="32"/>
      <c r="C104" s="106" t="s">
        <v>185</v>
      </c>
      <c r="D104" s="78"/>
      <c r="E104" s="78"/>
      <c r="F104" s="89" t="s">
        <v>186</v>
      </c>
      <c r="G104" s="30"/>
      <c r="H104" s="30" t="s">
        <v>24</v>
      </c>
      <c r="I104" s="30"/>
      <c r="J104" s="30"/>
      <c r="K104" s="30"/>
      <c r="L104" s="30" t="s">
        <v>24</v>
      </c>
    </row>
    <row r="105">
      <c r="A105" s="32"/>
      <c r="B105" s="32"/>
      <c r="C105" s="87" t="s">
        <v>187</v>
      </c>
      <c r="D105" s="78"/>
      <c r="E105" s="78"/>
      <c r="F105" s="79"/>
      <c r="G105" s="30"/>
      <c r="H105" s="30" t="s">
        <v>24</v>
      </c>
      <c r="I105" s="30"/>
      <c r="J105" s="30"/>
      <c r="K105" s="30"/>
      <c r="L105" s="30" t="s">
        <v>24</v>
      </c>
    </row>
    <row r="106">
      <c r="A106" s="32"/>
      <c r="B106" s="32"/>
      <c r="C106" s="87" t="s">
        <v>188</v>
      </c>
      <c r="D106" s="78"/>
      <c r="E106" s="78"/>
      <c r="F106" s="183" t="s">
        <v>189</v>
      </c>
      <c r="G106" s="30"/>
      <c r="H106" s="30" t="s">
        <v>24</v>
      </c>
      <c r="I106" s="30"/>
      <c r="J106" s="30"/>
      <c r="K106" s="30"/>
      <c r="L106" s="30" t="s">
        <v>24</v>
      </c>
    </row>
    <row r="107">
      <c r="A107" s="32"/>
      <c r="B107" s="32"/>
      <c r="C107" s="77" t="s">
        <v>190</v>
      </c>
      <c r="D107" s="78"/>
      <c r="E107" s="78"/>
      <c r="F107" s="79"/>
      <c r="G107" s="29"/>
      <c r="H107" s="29" t="s">
        <v>24</v>
      </c>
      <c r="I107" s="30"/>
      <c r="J107" s="29"/>
      <c r="K107" s="29"/>
      <c r="L107" s="30" t="s">
        <v>24</v>
      </c>
    </row>
    <row r="108">
      <c r="A108" s="32"/>
      <c r="B108" s="32"/>
      <c r="C108" s="106" t="s">
        <v>191</v>
      </c>
      <c r="D108" s="78"/>
      <c r="E108" s="78"/>
      <c r="F108" s="89" t="s">
        <v>192</v>
      </c>
      <c r="G108" s="30"/>
      <c r="H108" s="30" t="s">
        <v>24</v>
      </c>
      <c r="I108" s="30"/>
      <c r="J108" s="30"/>
      <c r="K108" s="30"/>
      <c r="L108" s="30" t="s">
        <v>24</v>
      </c>
    </row>
    <row r="109">
      <c r="A109" s="32"/>
      <c r="B109" s="32"/>
      <c r="C109" s="106" t="s">
        <v>193</v>
      </c>
      <c r="D109" s="78"/>
      <c r="E109" s="78"/>
      <c r="F109" s="79"/>
      <c r="G109" s="30"/>
      <c r="H109" s="30" t="s">
        <v>24</v>
      </c>
      <c r="I109" s="30"/>
      <c r="J109" s="30"/>
      <c r="K109" s="30"/>
      <c r="L109" s="30" t="s">
        <v>24</v>
      </c>
    </row>
    <row r="110">
      <c r="A110" s="32"/>
      <c r="B110" s="32"/>
      <c r="C110" s="93" t="s">
        <v>194</v>
      </c>
      <c r="D110" s="78"/>
      <c r="E110" s="78"/>
      <c r="F110" s="79"/>
      <c r="G110" s="30"/>
      <c r="H110" s="30" t="s">
        <v>24</v>
      </c>
      <c r="I110" s="30"/>
      <c r="J110" s="30"/>
      <c r="K110" s="30"/>
      <c r="L110" s="30" t="s">
        <v>24</v>
      </c>
    </row>
    <row r="111">
      <c r="A111" s="32"/>
      <c r="B111" s="32"/>
      <c r="C111" s="103" t="s">
        <v>195</v>
      </c>
      <c r="D111" s="78"/>
      <c r="E111" s="78"/>
      <c r="F111" s="89" t="s">
        <v>196</v>
      </c>
      <c r="G111" s="30"/>
      <c r="H111" s="30"/>
      <c r="I111" s="30"/>
      <c r="J111" s="30"/>
      <c r="K111" s="30"/>
      <c r="L111" s="30" t="s">
        <v>24</v>
      </c>
    </row>
    <row r="112">
      <c r="A112" s="32"/>
      <c r="B112" s="32"/>
      <c r="C112" s="93" t="s">
        <v>197</v>
      </c>
      <c r="D112" s="78"/>
      <c r="E112" s="78"/>
      <c r="F112" s="89" t="s">
        <v>196</v>
      </c>
      <c r="G112" s="30"/>
      <c r="H112" s="30"/>
      <c r="I112" s="30"/>
      <c r="J112" s="30"/>
      <c r="K112" s="30"/>
      <c r="L112" s="30" t="s">
        <v>24</v>
      </c>
    </row>
    <row r="113">
      <c r="A113" s="32"/>
      <c r="B113" s="32"/>
      <c r="C113" s="93" t="s">
        <v>198</v>
      </c>
      <c r="D113" s="78"/>
      <c r="E113" s="78"/>
      <c r="F113" s="89" t="s">
        <v>196</v>
      </c>
      <c r="G113" s="30"/>
      <c r="H113" s="30"/>
      <c r="I113" s="30"/>
      <c r="J113" s="30"/>
      <c r="K113" s="30"/>
      <c r="L113" s="30"/>
    </row>
    <row r="114">
      <c r="A114" s="32"/>
      <c r="B114" s="32"/>
      <c r="C114" s="118" t="s">
        <v>199</v>
      </c>
      <c r="D114" s="78"/>
      <c r="E114" s="78"/>
      <c r="F114" s="183" t="s">
        <v>200</v>
      </c>
      <c r="G114" s="29"/>
      <c r="H114" s="29"/>
      <c r="I114" s="29"/>
      <c r="J114" s="29"/>
      <c r="K114" s="29"/>
      <c r="L114" s="29" t="s">
        <v>24</v>
      </c>
    </row>
    <row r="115">
      <c r="A115" s="32"/>
      <c r="B115" s="32"/>
      <c r="C115" s="106" t="s">
        <v>201</v>
      </c>
      <c r="D115" s="78"/>
      <c r="E115" s="78"/>
      <c r="F115" s="89" t="s">
        <v>202</v>
      </c>
      <c r="G115" s="30"/>
      <c r="H115" s="30"/>
      <c r="I115" s="29"/>
      <c r="J115" s="30"/>
      <c r="K115" s="30"/>
      <c r="L115" s="29" t="s">
        <v>24</v>
      </c>
    </row>
    <row r="116">
      <c r="A116" s="32"/>
      <c r="B116" s="32"/>
      <c r="C116" s="119" t="s">
        <v>203</v>
      </c>
      <c r="D116" s="78"/>
      <c r="E116" s="78"/>
      <c r="F116" s="89" t="s">
        <v>124</v>
      </c>
      <c r="G116" s="30"/>
      <c r="H116" s="30" t="s">
        <v>24</v>
      </c>
      <c r="I116" s="29"/>
      <c r="J116" s="30"/>
      <c r="K116" s="30"/>
      <c r="L116" s="29" t="s">
        <v>24</v>
      </c>
    </row>
    <row r="117">
      <c r="A117" s="32"/>
      <c r="B117" s="32"/>
      <c r="C117" s="120" t="s">
        <v>316</v>
      </c>
      <c r="D117" s="78"/>
      <c r="E117" s="78"/>
      <c r="F117" s="89" t="s">
        <v>124</v>
      </c>
      <c r="G117" s="30"/>
      <c r="H117" s="30" t="s">
        <v>24</v>
      </c>
      <c r="I117" s="29"/>
      <c r="J117" s="30"/>
      <c r="K117" s="30"/>
      <c r="L117" s="29" t="s">
        <v>24</v>
      </c>
    </row>
    <row r="118">
      <c r="A118" s="32"/>
      <c r="B118" s="37"/>
      <c r="C118" s="121" t="s">
        <v>205</v>
      </c>
      <c r="D118" s="122"/>
      <c r="E118" s="186" t="s">
        <v>206</v>
      </c>
      <c r="F118" s="89" t="s">
        <v>207</v>
      </c>
      <c r="G118" s="30"/>
      <c r="H118" s="30"/>
      <c r="I118" s="29"/>
      <c r="J118" s="30"/>
      <c r="K118" s="30"/>
      <c r="L118" s="29" t="s">
        <v>24</v>
      </c>
    </row>
    <row r="119">
      <c r="A119" s="32"/>
      <c r="B119" s="102" t="s">
        <v>208</v>
      </c>
      <c r="C119" s="106" t="s">
        <v>209</v>
      </c>
      <c r="D119" s="78"/>
      <c r="E119" s="78"/>
      <c r="F119" s="79"/>
      <c r="G119" s="30"/>
      <c r="H119" s="30" t="s">
        <v>24</v>
      </c>
      <c r="I119" s="29"/>
      <c r="J119" s="30"/>
      <c r="K119" s="30"/>
      <c r="L119" s="29" t="s">
        <v>24</v>
      </c>
    </row>
    <row r="120">
      <c r="A120" s="32"/>
      <c r="B120" s="32"/>
      <c r="C120" s="123" t="s">
        <v>210</v>
      </c>
      <c r="D120" s="78"/>
      <c r="E120" s="78"/>
      <c r="F120" s="89" t="s">
        <v>211</v>
      </c>
      <c r="G120" s="30"/>
      <c r="H120" s="30"/>
      <c r="I120" s="29"/>
      <c r="J120" s="30"/>
      <c r="K120" s="30"/>
      <c r="L120" s="29" t="s">
        <v>24</v>
      </c>
    </row>
    <row r="121">
      <c r="A121" s="32"/>
      <c r="B121" s="32"/>
      <c r="C121" s="124" t="s">
        <v>212</v>
      </c>
      <c r="D121" s="78"/>
      <c r="E121" s="78"/>
      <c r="F121" s="79"/>
      <c r="G121" s="30"/>
      <c r="H121" s="29" t="s">
        <v>24</v>
      </c>
      <c r="I121" s="29"/>
      <c r="J121" s="30"/>
      <c r="K121" s="29"/>
      <c r="L121" s="29" t="s">
        <v>24</v>
      </c>
    </row>
    <row r="122">
      <c r="A122" s="32"/>
      <c r="B122" s="32"/>
      <c r="C122" s="125" t="s">
        <v>213</v>
      </c>
      <c r="D122" s="78"/>
      <c r="E122" s="78"/>
      <c r="F122" s="79"/>
      <c r="G122" s="30"/>
      <c r="H122" s="30" t="s">
        <v>24</v>
      </c>
      <c r="I122" s="29"/>
      <c r="J122" s="30"/>
      <c r="K122" s="30"/>
      <c r="L122" s="29" t="s">
        <v>24</v>
      </c>
    </row>
    <row r="123">
      <c r="A123" s="32"/>
      <c r="B123" s="32"/>
      <c r="C123" s="124" t="s">
        <v>214</v>
      </c>
      <c r="D123" s="78"/>
      <c r="E123" s="78"/>
      <c r="F123" s="79"/>
      <c r="G123" s="30"/>
      <c r="H123" s="30" t="s">
        <v>24</v>
      </c>
      <c r="I123" s="29"/>
      <c r="J123" s="30"/>
      <c r="K123" s="30"/>
      <c r="L123" s="29" t="s">
        <v>24</v>
      </c>
    </row>
    <row r="124">
      <c r="A124" s="32"/>
      <c r="B124" s="37"/>
      <c r="C124" s="126" t="s">
        <v>215</v>
      </c>
      <c r="D124" s="78"/>
      <c r="E124" s="78"/>
      <c r="F124" s="188" t="s">
        <v>317</v>
      </c>
      <c r="G124" s="30"/>
      <c r="H124" s="30" t="s">
        <v>24</v>
      </c>
      <c r="I124" s="29"/>
      <c r="J124" s="30"/>
      <c r="K124" s="30"/>
      <c r="L124" s="29" t="s">
        <v>24</v>
      </c>
    </row>
    <row r="125">
      <c r="A125" s="32"/>
      <c r="B125" s="115" t="s">
        <v>217</v>
      </c>
      <c r="C125" s="124" t="s">
        <v>218</v>
      </c>
      <c r="D125" s="78"/>
      <c r="E125" s="189" t="s">
        <v>219</v>
      </c>
      <c r="F125" s="79"/>
      <c r="G125" s="30"/>
      <c r="H125" s="30" t="s">
        <v>24</v>
      </c>
      <c r="I125" s="30"/>
      <c r="J125" s="30"/>
      <c r="K125" s="30"/>
      <c r="L125" s="30"/>
    </row>
    <row r="126">
      <c r="A126" s="32"/>
      <c r="B126" s="32"/>
      <c r="C126" s="124" t="s">
        <v>220</v>
      </c>
      <c r="D126" s="78"/>
      <c r="E126" s="78"/>
      <c r="F126" s="79"/>
      <c r="G126" s="30"/>
      <c r="H126" s="30" t="s">
        <v>24</v>
      </c>
      <c r="I126" s="30"/>
      <c r="J126" s="30"/>
      <c r="K126" s="30"/>
      <c r="L126" s="30"/>
    </row>
    <row r="127">
      <c r="A127" s="32"/>
      <c r="B127" s="32"/>
      <c r="C127" s="129" t="s">
        <v>221</v>
      </c>
      <c r="D127" s="78"/>
      <c r="E127" s="78"/>
      <c r="F127" s="89" t="s">
        <v>222</v>
      </c>
      <c r="G127" s="30"/>
      <c r="H127" s="30"/>
      <c r="I127" s="30"/>
      <c r="J127" s="30"/>
      <c r="K127" s="30"/>
      <c r="L127" s="30"/>
    </row>
    <row r="128">
      <c r="A128" s="32"/>
      <c r="B128" s="37"/>
      <c r="C128" s="124" t="s">
        <v>223</v>
      </c>
      <c r="D128" s="78"/>
      <c r="E128" s="78"/>
      <c r="F128" s="89" t="s">
        <v>224</v>
      </c>
      <c r="G128" s="30"/>
      <c r="H128" s="30"/>
      <c r="I128" s="30"/>
      <c r="J128" s="30"/>
      <c r="K128" s="30"/>
      <c r="L128" s="30"/>
    </row>
    <row r="129">
      <c r="A129" s="32"/>
      <c r="B129" s="115" t="s">
        <v>225</v>
      </c>
      <c r="C129" s="130" t="s">
        <v>226</v>
      </c>
      <c r="D129" s="78"/>
      <c r="E129" s="78"/>
      <c r="F129" s="190" t="s">
        <v>227</v>
      </c>
      <c r="G129" s="30"/>
      <c r="H129" s="30"/>
      <c r="I129" s="30"/>
      <c r="J129" s="30"/>
      <c r="K129" s="30"/>
      <c r="L129" s="30"/>
    </row>
    <row r="130">
      <c r="A130" s="32"/>
      <c r="B130" s="32"/>
      <c r="C130" s="132" t="s">
        <v>318</v>
      </c>
      <c r="D130" s="78"/>
      <c r="E130" s="78"/>
      <c r="F130" s="133"/>
      <c r="G130" s="30"/>
      <c r="H130" s="30"/>
      <c r="I130" s="30"/>
      <c r="J130" s="30"/>
      <c r="K130" s="30"/>
      <c r="L130" s="30" t="s">
        <v>24</v>
      </c>
    </row>
    <row r="131">
      <c r="A131" s="32"/>
      <c r="B131" s="32"/>
      <c r="C131" s="132" t="s">
        <v>229</v>
      </c>
      <c r="D131" s="78"/>
      <c r="E131" s="78"/>
      <c r="F131" s="134" t="s">
        <v>230</v>
      </c>
      <c r="G131" s="30"/>
      <c r="H131" s="30"/>
      <c r="I131" s="30"/>
      <c r="J131" s="30"/>
      <c r="K131" s="30"/>
      <c r="L131" s="30" t="s">
        <v>24</v>
      </c>
    </row>
    <row r="132">
      <c r="A132" s="32"/>
      <c r="B132" s="32"/>
      <c r="C132" s="132" t="s">
        <v>231</v>
      </c>
      <c r="D132" s="78"/>
      <c r="E132" s="78"/>
      <c r="F132" s="133"/>
      <c r="G132" s="30"/>
      <c r="H132" s="30"/>
      <c r="I132" s="30"/>
      <c r="J132" s="30"/>
      <c r="K132" s="30"/>
      <c r="L132" s="30" t="s">
        <v>24</v>
      </c>
    </row>
    <row r="133">
      <c r="A133" s="32"/>
      <c r="B133" s="32"/>
      <c r="C133" s="132" t="s">
        <v>232</v>
      </c>
      <c r="D133" s="78"/>
      <c r="E133" s="78"/>
      <c r="F133" s="135"/>
      <c r="G133" s="30"/>
      <c r="H133" s="30"/>
      <c r="I133" s="30"/>
      <c r="J133" s="30"/>
      <c r="K133" s="30"/>
      <c r="L133" s="30" t="s">
        <v>24</v>
      </c>
    </row>
    <row r="134">
      <c r="A134" s="32"/>
      <c r="B134" s="32"/>
      <c r="C134" s="132" t="s">
        <v>233</v>
      </c>
      <c r="D134" s="78"/>
      <c r="E134" s="78"/>
      <c r="F134" s="136" t="s">
        <v>234</v>
      </c>
      <c r="G134" s="30"/>
      <c r="H134" s="30"/>
      <c r="I134" s="30"/>
      <c r="J134" s="30"/>
      <c r="K134" s="30"/>
      <c r="L134" s="30" t="s">
        <v>24</v>
      </c>
    </row>
    <row r="135">
      <c r="A135" s="32"/>
      <c r="B135" s="32"/>
      <c r="C135" s="132" t="s">
        <v>235</v>
      </c>
      <c r="D135" s="78"/>
      <c r="E135" s="78"/>
      <c r="F135" s="136" t="s">
        <v>236</v>
      </c>
      <c r="G135" s="30"/>
      <c r="H135" s="30"/>
      <c r="I135" s="30"/>
      <c r="J135" s="30"/>
      <c r="K135" s="30"/>
      <c r="L135" s="30" t="s">
        <v>24</v>
      </c>
    </row>
    <row r="136">
      <c r="A136" s="32"/>
      <c r="B136" s="32"/>
      <c r="C136" s="132" t="s">
        <v>237</v>
      </c>
      <c r="D136" s="78"/>
      <c r="E136" s="78"/>
      <c r="F136" s="133"/>
      <c r="G136" s="30"/>
      <c r="H136" s="30"/>
      <c r="I136" s="30"/>
      <c r="J136" s="30"/>
      <c r="K136" s="30"/>
      <c r="L136" s="30" t="s">
        <v>24</v>
      </c>
    </row>
    <row r="137">
      <c r="A137" s="32"/>
      <c r="B137" s="32"/>
      <c r="C137" s="132" t="s">
        <v>238</v>
      </c>
      <c r="D137" s="78"/>
      <c r="E137" s="78"/>
      <c r="F137" s="89"/>
      <c r="G137" s="30"/>
      <c r="H137" s="30"/>
      <c r="I137" s="30"/>
      <c r="J137" s="30"/>
      <c r="K137" s="30"/>
      <c r="L137" s="30" t="s">
        <v>24</v>
      </c>
    </row>
    <row r="138">
      <c r="A138" s="32"/>
      <c r="B138" s="32"/>
      <c r="C138" s="132" t="s">
        <v>239</v>
      </c>
      <c r="D138" s="78"/>
      <c r="E138" s="78"/>
      <c r="F138" s="89"/>
      <c r="G138" s="30"/>
      <c r="H138" s="30"/>
      <c r="I138" s="30"/>
      <c r="J138" s="30"/>
      <c r="K138" s="30"/>
      <c r="L138" s="30" t="s">
        <v>24</v>
      </c>
    </row>
    <row r="139">
      <c r="A139" s="32"/>
      <c r="B139" s="32"/>
      <c r="C139" s="132" t="s">
        <v>240</v>
      </c>
      <c r="D139" s="78"/>
      <c r="E139" s="78"/>
      <c r="F139" s="89"/>
      <c r="G139" s="30"/>
      <c r="H139" s="30"/>
      <c r="I139" s="30"/>
      <c r="J139" s="30"/>
      <c r="K139" s="30"/>
      <c r="L139" s="30" t="s">
        <v>24</v>
      </c>
    </row>
    <row r="140">
      <c r="A140" s="32"/>
      <c r="B140" s="32"/>
      <c r="C140" s="132" t="s">
        <v>241</v>
      </c>
      <c r="D140" s="78"/>
      <c r="E140" s="78"/>
      <c r="F140" s="89"/>
      <c r="G140" s="30"/>
      <c r="H140" s="30"/>
      <c r="I140" s="30"/>
      <c r="J140" s="30"/>
      <c r="K140" s="30"/>
      <c r="L140" s="30" t="s">
        <v>24</v>
      </c>
    </row>
    <row r="141">
      <c r="A141" s="32"/>
      <c r="B141" s="32"/>
      <c r="C141" s="132" t="s">
        <v>242</v>
      </c>
      <c r="D141" s="78"/>
      <c r="E141" s="78"/>
      <c r="F141" s="89"/>
      <c r="G141" s="30"/>
      <c r="H141" s="30"/>
      <c r="I141" s="30"/>
      <c r="J141" s="30"/>
      <c r="K141" s="30"/>
      <c r="L141" s="30" t="s">
        <v>24</v>
      </c>
    </row>
    <row r="142">
      <c r="A142" s="32"/>
      <c r="B142" s="37"/>
      <c r="C142" s="132" t="s">
        <v>243</v>
      </c>
      <c r="D142" s="78"/>
      <c r="E142" s="78"/>
      <c r="F142" s="89"/>
      <c r="G142" s="30"/>
      <c r="H142" s="30"/>
      <c r="I142" s="30"/>
      <c r="J142" s="30"/>
      <c r="K142" s="30"/>
      <c r="L142" s="30" t="s">
        <v>24</v>
      </c>
    </row>
    <row r="143">
      <c r="A143" s="32"/>
      <c r="B143" s="102" t="s">
        <v>244</v>
      </c>
      <c r="C143" s="106" t="s">
        <v>245</v>
      </c>
      <c r="D143" s="78"/>
      <c r="E143" s="137"/>
      <c r="F143" s="191" t="s">
        <v>319</v>
      </c>
      <c r="G143" s="30"/>
      <c r="H143" s="30" t="s">
        <v>24</v>
      </c>
      <c r="I143" s="30"/>
      <c r="J143" s="30"/>
      <c r="K143" s="30"/>
      <c r="L143" s="30"/>
    </row>
    <row r="144">
      <c r="A144" s="32"/>
      <c r="B144" s="32"/>
      <c r="C144" s="123" t="s">
        <v>247</v>
      </c>
      <c r="D144" s="78"/>
      <c r="E144" s="186" t="s">
        <v>248</v>
      </c>
      <c r="F144" s="89" t="s">
        <v>207</v>
      </c>
      <c r="G144" s="30"/>
      <c r="H144" s="30" t="s">
        <v>24</v>
      </c>
      <c r="I144" s="30"/>
      <c r="J144" s="30"/>
      <c r="K144" s="30"/>
      <c r="L144" s="30" t="s">
        <v>24</v>
      </c>
    </row>
    <row r="145">
      <c r="A145" s="32"/>
      <c r="B145" s="32"/>
      <c r="C145" s="123" t="s">
        <v>249</v>
      </c>
      <c r="D145" s="78"/>
      <c r="E145" s="78"/>
      <c r="F145" s="89" t="s">
        <v>250</v>
      </c>
      <c r="G145" s="30"/>
      <c r="H145" s="30" t="s">
        <v>24</v>
      </c>
      <c r="I145" s="30"/>
      <c r="J145" s="30"/>
      <c r="K145" s="30"/>
      <c r="L145" s="30" t="s">
        <v>24</v>
      </c>
    </row>
    <row r="146">
      <c r="A146" s="32"/>
      <c r="B146" s="32"/>
      <c r="C146" s="103" t="s">
        <v>251</v>
      </c>
      <c r="D146" s="78"/>
      <c r="E146" s="78"/>
      <c r="F146" s="89" t="s">
        <v>252</v>
      </c>
      <c r="G146" s="30"/>
      <c r="H146" s="30" t="s">
        <v>24</v>
      </c>
      <c r="I146" s="30"/>
      <c r="J146" s="30"/>
      <c r="K146" s="30"/>
      <c r="L146" s="30" t="s">
        <v>24</v>
      </c>
    </row>
    <row r="147">
      <c r="A147" s="32"/>
      <c r="B147" s="32"/>
      <c r="C147" s="106" t="s">
        <v>253</v>
      </c>
      <c r="D147" s="78"/>
      <c r="E147" s="78"/>
      <c r="F147" s="89" t="s">
        <v>254</v>
      </c>
      <c r="G147" s="30"/>
      <c r="H147" s="30" t="s">
        <v>24</v>
      </c>
      <c r="I147" s="30"/>
      <c r="J147" s="30"/>
      <c r="K147" s="30"/>
      <c r="L147" s="30" t="s">
        <v>24</v>
      </c>
    </row>
    <row r="148">
      <c r="A148" s="32"/>
      <c r="B148" s="32"/>
      <c r="C148" s="106" t="s">
        <v>255</v>
      </c>
      <c r="D148" s="78"/>
      <c r="E148" s="78"/>
      <c r="F148" s="89" t="s">
        <v>256</v>
      </c>
      <c r="G148" s="30"/>
      <c r="H148" s="30" t="s">
        <v>24</v>
      </c>
      <c r="I148" s="30"/>
      <c r="J148" s="30"/>
      <c r="K148" s="30"/>
      <c r="L148" s="30" t="s">
        <v>24</v>
      </c>
    </row>
    <row r="149">
      <c r="A149" s="32"/>
      <c r="B149" s="32"/>
      <c r="C149" s="93" t="s">
        <v>257</v>
      </c>
      <c r="D149" s="78"/>
      <c r="E149" s="78"/>
      <c r="F149" s="79"/>
      <c r="G149" s="30"/>
      <c r="H149" s="30"/>
      <c r="I149" s="30"/>
      <c r="J149" s="30"/>
      <c r="K149" s="30"/>
      <c r="L149" s="30" t="s">
        <v>24</v>
      </c>
    </row>
    <row r="150">
      <c r="A150" s="32"/>
      <c r="B150" s="32"/>
      <c r="C150" s="93" t="s">
        <v>258</v>
      </c>
      <c r="D150" s="78"/>
      <c r="E150" s="78"/>
      <c r="F150" s="89" t="s">
        <v>259</v>
      </c>
      <c r="G150" s="30"/>
      <c r="H150" s="30" t="s">
        <v>24</v>
      </c>
      <c r="I150" s="30"/>
      <c r="J150" s="30"/>
      <c r="K150" s="30"/>
      <c r="L150" s="30" t="s">
        <v>24</v>
      </c>
    </row>
    <row r="151">
      <c r="A151" s="32"/>
      <c r="B151" s="32"/>
      <c r="C151" s="139" t="s">
        <v>260</v>
      </c>
      <c r="D151" s="78"/>
      <c r="E151" s="78"/>
      <c r="F151" s="79"/>
      <c r="G151" s="30"/>
      <c r="H151" s="30" t="s">
        <v>24</v>
      </c>
      <c r="I151" s="30"/>
      <c r="J151" s="30"/>
      <c r="K151" s="30"/>
      <c r="L151" s="30" t="s">
        <v>24</v>
      </c>
    </row>
    <row r="152">
      <c r="A152" s="32"/>
      <c r="B152" s="32"/>
      <c r="C152" s="139" t="s">
        <v>261</v>
      </c>
      <c r="D152" s="78"/>
      <c r="E152" s="78"/>
      <c r="F152" s="140" t="s">
        <v>262</v>
      </c>
      <c r="G152" s="30"/>
      <c r="H152" s="30" t="s">
        <v>24</v>
      </c>
      <c r="I152" s="30"/>
      <c r="J152" s="30"/>
      <c r="K152" s="30"/>
      <c r="L152" s="30" t="s">
        <v>24</v>
      </c>
    </row>
    <row r="153">
      <c r="A153" s="32"/>
      <c r="B153" s="37"/>
      <c r="C153" s="139" t="s">
        <v>263</v>
      </c>
      <c r="D153" s="78"/>
      <c r="E153" s="78"/>
      <c r="F153" s="79"/>
      <c r="G153" s="30"/>
      <c r="H153" s="30" t="s">
        <v>24</v>
      </c>
      <c r="I153" s="30"/>
      <c r="J153" s="30"/>
      <c r="K153" s="30"/>
      <c r="L153" s="30" t="s">
        <v>24</v>
      </c>
    </row>
    <row r="154">
      <c r="A154" s="32"/>
      <c r="B154" s="141" t="s">
        <v>264</v>
      </c>
      <c r="C154" s="142" t="s">
        <v>265</v>
      </c>
      <c r="D154" s="122"/>
      <c r="E154" s="186" t="s">
        <v>266</v>
      </c>
      <c r="F154" s="140"/>
      <c r="G154" s="30"/>
      <c r="H154" s="30" t="s">
        <v>24</v>
      </c>
      <c r="I154" s="30"/>
      <c r="J154" s="30"/>
      <c r="K154" s="30"/>
      <c r="L154" s="30"/>
    </row>
    <row r="155">
      <c r="A155" s="32"/>
      <c r="B155" s="32"/>
      <c r="C155" s="143" t="s">
        <v>267</v>
      </c>
      <c r="D155" s="189" t="s">
        <v>268</v>
      </c>
      <c r="E155" s="122"/>
      <c r="F155" s="144"/>
      <c r="G155" s="30"/>
      <c r="H155" s="30" t="s">
        <v>144</v>
      </c>
      <c r="I155" s="30"/>
      <c r="J155" s="30" t="s">
        <v>144</v>
      </c>
      <c r="K155" s="30"/>
      <c r="L155" s="30" t="s">
        <v>144</v>
      </c>
    </row>
    <row r="156">
      <c r="A156" s="32"/>
      <c r="B156" s="32"/>
      <c r="C156" s="143" t="s">
        <v>270</v>
      </c>
      <c r="D156" s="78"/>
      <c r="E156" s="192" t="s">
        <v>271</v>
      </c>
      <c r="F156" s="144"/>
      <c r="G156" s="30"/>
      <c r="H156" s="30"/>
      <c r="I156" s="30"/>
      <c r="J156" s="30"/>
      <c r="K156" s="30"/>
      <c r="L156" s="30" t="s">
        <v>24</v>
      </c>
    </row>
    <row r="157">
      <c r="A157" s="32"/>
      <c r="B157" s="32"/>
      <c r="C157" s="146" t="s">
        <v>272</v>
      </c>
      <c r="D157" s="78"/>
      <c r="E157" s="122"/>
      <c r="F157" s="193" t="s">
        <v>273</v>
      </c>
      <c r="G157" s="30"/>
      <c r="H157" s="30" t="s">
        <v>24</v>
      </c>
      <c r="I157" s="30"/>
      <c r="J157" s="30"/>
      <c r="K157" s="30"/>
      <c r="L157" s="30"/>
    </row>
    <row r="158">
      <c r="A158" s="37"/>
      <c r="B158" s="37"/>
      <c r="C158" s="148" t="s">
        <v>274</v>
      </c>
      <c r="D158" s="78"/>
      <c r="E158" s="122"/>
      <c r="F158" s="144" t="s">
        <v>275</v>
      </c>
      <c r="G158" s="30"/>
      <c r="H158" s="30"/>
      <c r="I158" s="30"/>
      <c r="J158" s="30"/>
      <c r="K158" s="30"/>
      <c r="L158" s="30" t="s">
        <v>24</v>
      </c>
    </row>
    <row r="159">
      <c r="A159" s="150"/>
      <c r="B159" s="150">
        <v>159.0</v>
      </c>
      <c r="C159" s="150" t="s">
        <v>320</v>
      </c>
      <c r="D159" s="150"/>
      <c r="E159" s="150"/>
      <c r="F159" s="151" t="s">
        <v>276</v>
      </c>
      <c r="G159" s="21">
        <v>0.0</v>
      </c>
      <c r="H159" s="21">
        <v>76.0</v>
      </c>
      <c r="I159" s="21">
        <v>0.0</v>
      </c>
      <c r="J159" s="21">
        <v>2.0</v>
      </c>
      <c r="K159" s="21">
        <v>0.0</v>
      </c>
      <c r="L159" s="21">
        <v>82.0</v>
      </c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>
      <c r="A164" s="79" t="s">
        <v>328</v>
      </c>
      <c r="B164" s="152"/>
      <c r="C164" s="152"/>
      <c r="D164" s="153"/>
      <c r="E164" s="10"/>
      <c r="F164" s="10"/>
      <c r="G164" s="10"/>
      <c r="H164" s="10"/>
      <c r="I164" s="10"/>
      <c r="J164" s="10"/>
      <c r="K164" s="10"/>
      <c r="L164" s="10"/>
    </row>
    <row r="165">
      <c r="A165" s="154"/>
      <c r="B165" s="155" t="s">
        <v>5</v>
      </c>
      <c r="C165" s="155" t="s">
        <v>277</v>
      </c>
      <c r="D165" s="155" t="s">
        <v>7</v>
      </c>
      <c r="E165" s="10"/>
      <c r="F165" s="10"/>
      <c r="G165" s="10"/>
      <c r="H165" s="10"/>
      <c r="I165" s="10"/>
      <c r="J165" s="10"/>
      <c r="K165" s="10"/>
      <c r="L165" s="10"/>
    </row>
    <row r="166">
      <c r="A166" s="155" t="s">
        <v>278</v>
      </c>
      <c r="B166" s="154">
        <v>0.0</v>
      </c>
      <c r="C166" s="154">
        <v>76.0</v>
      </c>
      <c r="D166" s="154">
        <v>0.0</v>
      </c>
      <c r="E166" s="10"/>
      <c r="F166" s="10"/>
      <c r="G166" s="10"/>
      <c r="H166" s="10"/>
      <c r="I166" s="10"/>
      <c r="J166" s="10"/>
      <c r="K166" s="10"/>
      <c r="L166" s="10"/>
    </row>
    <row r="167">
      <c r="A167" s="155" t="s">
        <v>279</v>
      </c>
      <c r="B167" s="154">
        <v>0.0</v>
      </c>
      <c r="C167" s="154">
        <v>0.0</v>
      </c>
      <c r="D167" s="154">
        <v>0.0</v>
      </c>
      <c r="E167" s="10"/>
      <c r="F167" s="10"/>
      <c r="G167" s="10"/>
      <c r="H167" s="10"/>
      <c r="I167" s="10"/>
      <c r="J167" s="10"/>
      <c r="K167" s="10"/>
      <c r="L167" s="10"/>
    </row>
    <row r="168">
      <c r="A168" s="155" t="s">
        <v>280</v>
      </c>
      <c r="B168" s="154">
        <v>0.0</v>
      </c>
      <c r="C168" s="154">
        <v>0.0</v>
      </c>
      <c r="D168" s="154">
        <v>0.0</v>
      </c>
      <c r="E168" s="10"/>
      <c r="F168" s="10"/>
      <c r="G168" s="10"/>
      <c r="H168" s="10"/>
      <c r="I168" s="10"/>
      <c r="J168" s="10"/>
      <c r="K168" s="10"/>
      <c r="L168" s="10"/>
    </row>
    <row r="169">
      <c r="A169" s="155" t="s">
        <v>281</v>
      </c>
      <c r="B169" s="154">
        <v>0.0</v>
      </c>
      <c r="C169" s="154">
        <v>31.0</v>
      </c>
      <c r="D169" s="154">
        <v>0.0</v>
      </c>
      <c r="E169" s="10"/>
      <c r="F169" s="10"/>
      <c r="G169" s="10"/>
      <c r="H169" s="10"/>
      <c r="I169" s="10"/>
      <c r="J169" s="10"/>
      <c r="K169" s="10"/>
      <c r="L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>
      <c r="A172" s="156" t="s">
        <v>282</v>
      </c>
      <c r="F172" s="10"/>
      <c r="G172" s="10"/>
      <c r="H172" s="10"/>
      <c r="I172" s="10"/>
      <c r="J172" s="10"/>
      <c r="K172" s="10"/>
      <c r="L172" s="10"/>
    </row>
    <row r="173">
      <c r="A173" s="157" t="s">
        <v>8</v>
      </c>
      <c r="B173" s="158"/>
      <c r="C173" s="158"/>
      <c r="D173" s="158"/>
      <c r="E173" s="157" t="s">
        <v>283</v>
      </c>
      <c r="F173" s="10"/>
      <c r="G173" s="10"/>
      <c r="H173" s="10"/>
      <c r="I173" s="10"/>
      <c r="J173" s="10"/>
      <c r="K173" s="10"/>
      <c r="L173" s="10"/>
    </row>
    <row r="174">
      <c r="A174" s="159" t="s">
        <v>284</v>
      </c>
      <c r="B174" s="158"/>
      <c r="C174" s="158"/>
      <c r="D174" s="158"/>
      <c r="E174" s="160" t="s">
        <v>24</v>
      </c>
      <c r="F174" s="10"/>
      <c r="G174" s="10"/>
      <c r="H174" s="10"/>
      <c r="I174" s="10"/>
      <c r="J174" s="10"/>
      <c r="K174" s="10"/>
      <c r="L174" s="10"/>
    </row>
    <row r="175">
      <c r="A175" s="161" t="s">
        <v>285</v>
      </c>
      <c r="B175" s="158"/>
      <c r="C175" s="158"/>
      <c r="D175" s="158"/>
      <c r="E175" s="162" t="s">
        <v>12</v>
      </c>
      <c r="F175" s="10"/>
      <c r="G175" s="10"/>
      <c r="H175" s="10"/>
      <c r="I175" s="10"/>
      <c r="J175" s="10"/>
      <c r="K175" s="10"/>
      <c r="L175" s="10"/>
    </row>
    <row r="176">
      <c r="A176" s="163" t="s">
        <v>286</v>
      </c>
      <c r="B176" s="158"/>
      <c r="C176" s="158"/>
      <c r="D176" s="158"/>
      <c r="E176" s="164" t="s">
        <v>287</v>
      </c>
      <c r="F176" s="10"/>
      <c r="G176" s="10"/>
      <c r="H176" s="10"/>
      <c r="I176" s="10"/>
      <c r="J176" s="10"/>
      <c r="K176" s="10"/>
      <c r="L176" s="10"/>
    </row>
    <row r="177">
      <c r="A177" s="165" t="s">
        <v>288</v>
      </c>
      <c r="B177" s="158"/>
      <c r="C177" s="158"/>
      <c r="D177" s="158"/>
      <c r="E177" s="166" t="s">
        <v>10</v>
      </c>
      <c r="F177" s="10"/>
      <c r="G177" s="10"/>
      <c r="H177" s="10"/>
      <c r="I177" s="10"/>
      <c r="J177" s="10"/>
      <c r="K177" s="10"/>
      <c r="L177" s="10"/>
    </row>
    <row r="178">
      <c r="A178" s="167" t="s">
        <v>289</v>
      </c>
      <c r="B178" s="158"/>
      <c r="C178" s="158"/>
      <c r="D178" s="158"/>
      <c r="E178" s="168" t="s">
        <v>290</v>
      </c>
      <c r="F178" s="10"/>
      <c r="G178" s="10"/>
      <c r="H178" s="10"/>
      <c r="I178" s="10"/>
      <c r="J178" s="10"/>
      <c r="K178" s="10"/>
      <c r="L178" s="10"/>
    </row>
    <row r="179">
      <c r="A179" s="169" t="s">
        <v>291</v>
      </c>
      <c r="B179" s="158"/>
      <c r="C179" s="158"/>
      <c r="D179" s="158"/>
      <c r="E179" s="170" t="s">
        <v>292</v>
      </c>
      <c r="F179" s="10"/>
      <c r="G179" s="10"/>
      <c r="H179" s="10"/>
      <c r="I179" s="10"/>
      <c r="J179" s="10"/>
      <c r="K179" s="10"/>
      <c r="L179" s="10"/>
    </row>
    <row r="180">
      <c r="A180" s="171" t="s">
        <v>293</v>
      </c>
      <c r="B180" s="158"/>
      <c r="C180" s="158"/>
      <c r="D180" s="158"/>
      <c r="E180" s="172" t="s">
        <v>294</v>
      </c>
      <c r="F180" s="10"/>
      <c r="G180" s="10"/>
      <c r="H180" s="10"/>
      <c r="I180" s="10"/>
      <c r="J180" s="10"/>
      <c r="K180" s="10"/>
      <c r="L180" s="10"/>
    </row>
    <row r="181">
      <c r="A181" s="173" t="s">
        <v>295</v>
      </c>
      <c r="B181" s="158"/>
      <c r="C181" s="158"/>
      <c r="D181" s="158"/>
      <c r="E181" s="174" t="s">
        <v>11</v>
      </c>
      <c r="F181" s="10"/>
      <c r="G181" s="10"/>
      <c r="H181" s="10"/>
      <c r="I181" s="10"/>
      <c r="J181" s="10"/>
      <c r="K181" s="10"/>
      <c r="L181" s="10"/>
    </row>
    <row r="182">
      <c r="A182" s="175" t="s">
        <v>296</v>
      </c>
      <c r="B182" s="158"/>
      <c r="C182" s="158"/>
      <c r="D182" s="158"/>
      <c r="E182" s="176" t="s">
        <v>12</v>
      </c>
      <c r="F182" s="10"/>
      <c r="G182" s="10"/>
      <c r="H182" s="10"/>
      <c r="I182" s="10"/>
      <c r="J182" s="10"/>
      <c r="K182" s="10"/>
      <c r="L182" s="10"/>
    </row>
    <row r="183">
      <c r="A183" s="177" t="s">
        <v>297</v>
      </c>
      <c r="B183" s="158"/>
      <c r="C183" s="158"/>
      <c r="D183" s="158"/>
      <c r="E183" s="158"/>
      <c r="F183" s="10"/>
      <c r="G183" s="10"/>
      <c r="H183" s="10"/>
      <c r="I183" s="10"/>
      <c r="J183" s="10"/>
      <c r="K183" s="10"/>
      <c r="L183" s="10"/>
    </row>
    <row r="184">
      <c r="A184" s="178" t="s">
        <v>298</v>
      </c>
      <c r="B184" s="158"/>
      <c r="C184" s="158"/>
      <c r="D184" s="158"/>
      <c r="E184" s="158"/>
      <c r="F184" s="10"/>
      <c r="G184" s="10"/>
      <c r="H184" s="10"/>
      <c r="I184" s="10"/>
      <c r="J184" s="10"/>
      <c r="K184" s="10"/>
      <c r="L184" s="10"/>
    </row>
    <row r="185">
      <c r="A185" s="179" t="s">
        <v>299</v>
      </c>
      <c r="B185" s="158"/>
      <c r="C185" s="158"/>
      <c r="D185" s="158"/>
      <c r="E185" s="158"/>
      <c r="F185" s="10"/>
      <c r="G185" s="10"/>
      <c r="H185" s="10"/>
      <c r="I185" s="10"/>
      <c r="J185" s="10"/>
      <c r="K185" s="10"/>
      <c r="L185" s="10"/>
    </row>
    <row r="186">
      <c r="A186" s="180" t="s">
        <v>300</v>
      </c>
      <c r="B186" s="158"/>
      <c r="C186" s="158"/>
      <c r="D186" s="158"/>
      <c r="E186" s="158"/>
      <c r="F186" s="10"/>
      <c r="G186" s="10"/>
      <c r="H186" s="10"/>
      <c r="I186" s="10"/>
      <c r="J186" s="10"/>
      <c r="K186" s="10"/>
      <c r="L186" s="10"/>
    </row>
    <row r="187">
      <c r="A187" s="181" t="s">
        <v>301</v>
      </c>
      <c r="B187" s="158"/>
      <c r="C187" s="158"/>
      <c r="D187" s="158"/>
      <c r="E187" s="158"/>
      <c r="F187" s="10"/>
      <c r="G187" s="10"/>
      <c r="H187" s="10"/>
      <c r="I187" s="10"/>
      <c r="J187" s="10"/>
      <c r="K187" s="10"/>
      <c r="L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</sheetData>
  <mergeCells count="30">
    <mergeCell ref="B19:B21"/>
    <mergeCell ref="B22:B25"/>
    <mergeCell ref="B26:B27"/>
    <mergeCell ref="B28:B33"/>
    <mergeCell ref="B34:B39"/>
    <mergeCell ref="B40:B41"/>
    <mergeCell ref="B42:B45"/>
    <mergeCell ref="B46:B49"/>
    <mergeCell ref="G1:I1"/>
    <mergeCell ref="J1:L1"/>
    <mergeCell ref="A6:A8"/>
    <mergeCell ref="B6:B8"/>
    <mergeCell ref="A9:A62"/>
    <mergeCell ref="B9:B13"/>
    <mergeCell ref="B14:B18"/>
    <mergeCell ref="B59:B62"/>
    <mergeCell ref="B119:B124"/>
    <mergeCell ref="B125:B128"/>
    <mergeCell ref="B129:B142"/>
    <mergeCell ref="B143:B153"/>
    <mergeCell ref="A164:D164"/>
    <mergeCell ref="A172:E172"/>
    <mergeCell ref="B50:B56"/>
    <mergeCell ref="B57:B58"/>
    <mergeCell ref="A63:A158"/>
    <mergeCell ref="B63:B79"/>
    <mergeCell ref="B80:B94"/>
    <mergeCell ref="B95:B98"/>
    <mergeCell ref="B99:B118"/>
    <mergeCell ref="B154:B158"/>
  </mergeCells>
  <conditionalFormatting sqref="B3:D3 G4:L4">
    <cfRule type="cellIs" dxfId="0" priority="1" stopIfTrue="1" operator="equal">
      <formula>"Amrita"</formula>
    </cfRule>
  </conditionalFormatting>
  <conditionalFormatting sqref="B3:D3 G4:L4">
    <cfRule type="cellIs" dxfId="1" priority="2" stopIfTrue="1" operator="equal">
      <formula>"Soumya"</formula>
    </cfRule>
  </conditionalFormatting>
  <conditionalFormatting sqref="B3:D3 G4:L4">
    <cfRule type="cellIs" dxfId="2" priority="3" stopIfTrue="1" operator="equal">
      <formula>"Hannah"</formula>
    </cfRule>
  </conditionalFormatting>
  <conditionalFormatting sqref="B3:D3 G4:L4">
    <cfRule type="cellIs" dxfId="3" priority="4" stopIfTrue="1" operator="equal">
      <formula>"Naga Lakshmi"</formula>
    </cfRule>
  </conditionalFormatting>
  <conditionalFormatting sqref="B3:D3 G4:L4">
    <cfRule type="cellIs" dxfId="4" priority="5" stopIfTrue="1" operator="equal">
      <formula>"Aditya"</formula>
    </cfRule>
  </conditionalFormatting>
  <conditionalFormatting sqref="B3:D3 G4:L4">
    <cfRule type="cellIs" dxfId="5" priority="6" stopIfTrue="1" operator="equal">
      <formula>"Sakshi"</formula>
    </cfRule>
  </conditionalFormatting>
  <conditionalFormatting sqref="B3:D3 G4:L4">
    <cfRule type="cellIs" dxfId="6" priority="7" stopIfTrue="1" operator="equal">
      <formula>"Abdul"</formula>
    </cfRule>
  </conditionalFormatting>
  <conditionalFormatting sqref="B3:D3 G4:L4">
    <cfRule type="cellIs" dxfId="7" priority="8" stopIfTrue="1" operator="equal">
      <formula>"Sourabh"</formula>
    </cfRule>
  </conditionalFormatting>
  <conditionalFormatting sqref="B3:D3 G4:L4">
    <cfRule type="cellIs" dxfId="8" priority="9" stopIfTrue="1" operator="equal">
      <formula>"Prachi"</formula>
    </cfRule>
  </conditionalFormatting>
  <conditionalFormatting sqref="B3:D3 G4:L4">
    <cfRule type="cellIs" dxfId="9" priority="10" stopIfTrue="1" operator="equal">
      <formula>"Vishnu"</formula>
    </cfRule>
  </conditionalFormatting>
  <conditionalFormatting sqref="B3:D3 G4:L4">
    <cfRule type="cellIs" dxfId="10" priority="11" stopIfTrue="1" operator="equal">
      <formula>"Ivy"</formula>
    </cfRule>
  </conditionalFormatting>
  <conditionalFormatting sqref="B3:D3 G4:L4">
    <cfRule type="cellIs" dxfId="11" priority="12" stopIfTrue="1" operator="equal">
      <formula>"Rupal"</formula>
    </cfRule>
  </conditionalFormatting>
  <conditionalFormatting sqref="B3:D3 G4:L4">
    <cfRule type="cellIs" dxfId="12" priority="13" stopIfTrue="1" operator="equal">
      <formula>"Soumyajit"</formula>
    </cfRule>
  </conditionalFormatting>
  <conditionalFormatting sqref="B3:D3 G4:L4">
    <cfRule type="cellIs" dxfId="13" priority="14" stopIfTrue="1" operator="equal">
      <formula>"Propali"</formula>
    </cfRule>
  </conditionalFormatting>
  <conditionalFormatting sqref="B3:D3 G4:L4">
    <cfRule type="cellIs" dxfId="14" priority="15" stopIfTrue="1" operator="equal">
      <formula>"Akshay"</formula>
    </cfRule>
  </conditionalFormatting>
  <conditionalFormatting sqref="B3:D3 G4:L4">
    <cfRule type="cellIs" dxfId="15" priority="16" stopIfTrue="1" operator="equal">
      <formula>"Nachiket"</formula>
    </cfRule>
  </conditionalFormatting>
  <conditionalFormatting sqref="G6:L158">
    <cfRule type="cellIs" dxfId="16" priority="17" stopIfTrue="1" operator="equal">
      <formula>"OK"</formula>
    </cfRule>
  </conditionalFormatting>
  <conditionalFormatting sqref="G6:L158">
    <cfRule type="cellIs" dxfId="16" priority="18" stopIfTrue="1" operator="equal">
      <formula>"AUTO_PASS"</formula>
    </cfRule>
  </conditionalFormatting>
  <conditionalFormatting sqref="G6:L158">
    <cfRule type="cellIs" dxfId="17" priority="19" stopIfTrue="1" operator="equal">
      <formula>"AUTO_FAIL"</formula>
    </cfRule>
  </conditionalFormatting>
  <conditionalFormatting sqref="B3:D3 G4:L4 G6:L158">
    <cfRule type="cellIs" dxfId="18" priority="20" stopIfTrue="1" operator="equal">
      <formula>"Not Tested"</formula>
    </cfRule>
  </conditionalFormatting>
  <conditionalFormatting sqref="G6:L158">
    <cfRule type="cellIs" dxfId="19" priority="21" stopIfTrue="1" operator="equal">
      <formula>"N/A"</formula>
    </cfRule>
  </conditionalFormatting>
  <conditionalFormatting sqref="B2:D2 G3:L3">
    <cfRule type="containsText" dxfId="20" priority="22" stopIfTrue="1" operator="containsText" text="Incomplete">
      <formula>NOT(ISERROR(SEARCH(("Incomplete"),(B2))))</formula>
    </cfRule>
  </conditionalFormatting>
  <conditionalFormatting sqref="B2:D2 G3:L3">
    <cfRule type="containsText" dxfId="17" priority="23" stopIfTrue="1" operator="containsText" text="Broken">
      <formula>NOT(ISERROR(SEARCH(("Broken"),(B2))))</formula>
    </cfRule>
  </conditionalFormatting>
  <conditionalFormatting sqref="B2:D2 G3:L3">
    <cfRule type="containsText" dxfId="21" priority="24" stopIfTrue="1" operator="containsText" text="Some problems">
      <formula>NOT(ISERROR(SEARCH(("Some problems"),(B2))))</formula>
    </cfRule>
  </conditionalFormatting>
  <conditionalFormatting sqref="B2:D2 G3:L3">
    <cfRule type="containsText" dxfId="22" priority="25" stopIfTrue="1" operator="containsText" text="All OK">
      <formula>NOT(ISERROR(SEARCH(("All OK"),(B2))))</formula>
    </cfRule>
  </conditionalFormatting>
  <conditionalFormatting sqref="B2:D2 G3:L3">
    <cfRule type="containsText" dxfId="23" priority="26" stopIfTrue="1" operator="containsText" text="In Progress">
      <formula>NOT(ISERROR(SEARCH(("In Progress"),(B2))))</formula>
    </cfRule>
  </conditionalFormatting>
  <conditionalFormatting sqref="B2:D2 G3:L3">
    <cfRule type="containsText" dxfId="24" priority="27" stopIfTrue="1" operator="containsText" text="Not Tested">
      <formula>NOT(ISERROR(SEARCH(("Not Tested"),(B2))))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329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329</v>
      </c>
      <c r="H1" s="6"/>
      <c r="I1" s="7"/>
      <c r="J1" s="5" t="s">
        <v>330</v>
      </c>
      <c r="K1" s="6"/>
      <c r="L1" s="7"/>
    </row>
    <row r="2">
      <c r="A2" s="8"/>
      <c r="B2" s="9" t="s">
        <v>10</v>
      </c>
      <c r="C2" s="9" t="s">
        <v>331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</row>
    <row r="3">
      <c r="A3" s="13" t="s">
        <v>8</v>
      </c>
      <c r="B3" s="9" t="s">
        <v>12</v>
      </c>
      <c r="C3" s="9" t="s">
        <v>301</v>
      </c>
      <c r="D3" s="9" t="s">
        <v>12</v>
      </c>
      <c r="E3" s="10"/>
      <c r="F3" s="14" t="s">
        <v>9</v>
      </c>
      <c r="G3" s="15" t="s">
        <v>10</v>
      </c>
      <c r="H3" s="15" t="s">
        <v>11</v>
      </c>
      <c r="I3" s="15" t="s">
        <v>10</v>
      </c>
      <c r="J3" s="15" t="s">
        <v>10</v>
      </c>
      <c r="K3" s="15" t="s">
        <v>10</v>
      </c>
      <c r="L3" s="15" t="s">
        <v>11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301</v>
      </c>
      <c r="I4" s="15" t="s">
        <v>12</v>
      </c>
      <c r="J4" s="15" t="s">
        <v>12</v>
      </c>
      <c r="K4" s="15" t="s">
        <v>12</v>
      </c>
      <c r="L4" s="15" t="s">
        <v>286</v>
      </c>
    </row>
    <row r="5">
      <c r="A5" s="18" t="s">
        <v>15</v>
      </c>
      <c r="B5" s="19" t="s">
        <v>16</v>
      </c>
      <c r="C5" s="19" t="s">
        <v>17</v>
      </c>
      <c r="D5" s="19" t="s">
        <v>18</v>
      </c>
      <c r="E5" s="19" t="s">
        <v>19</v>
      </c>
      <c r="F5" s="20" t="s">
        <v>20</v>
      </c>
      <c r="G5" s="21"/>
      <c r="H5" s="21"/>
      <c r="I5" s="22"/>
      <c r="J5" s="21"/>
      <c r="K5" s="21"/>
      <c r="L5" s="22"/>
    </row>
    <row r="6">
      <c r="A6" s="23" t="s">
        <v>21</v>
      </c>
      <c r="B6" s="24" t="s">
        <v>22</v>
      </c>
      <c r="C6" s="25" t="s">
        <v>23</v>
      </c>
      <c r="D6" s="26"/>
      <c r="E6" s="27"/>
      <c r="F6" s="28"/>
      <c r="G6" s="29"/>
      <c r="H6" s="29" t="s">
        <v>24</v>
      </c>
      <c r="I6" s="42"/>
      <c r="J6" s="29"/>
      <c r="K6" s="29"/>
      <c r="L6" s="194"/>
    </row>
    <row r="7">
      <c r="A7" s="32"/>
      <c r="B7" s="32"/>
      <c r="C7" s="33" t="s">
        <v>25</v>
      </c>
      <c r="D7" s="34"/>
      <c r="E7" s="35"/>
      <c r="F7" s="36"/>
      <c r="G7" s="29"/>
      <c r="H7" s="29" t="s">
        <v>24</v>
      </c>
      <c r="I7" s="42"/>
      <c r="J7" s="29"/>
      <c r="K7" s="29"/>
      <c r="L7" s="194"/>
    </row>
    <row r="8">
      <c r="A8" s="37"/>
      <c r="B8" s="37"/>
      <c r="C8" s="33" t="s">
        <v>26</v>
      </c>
      <c r="D8" s="34"/>
      <c r="E8" s="35"/>
      <c r="F8" s="36"/>
      <c r="G8" s="29"/>
      <c r="H8" s="29" t="s">
        <v>24</v>
      </c>
      <c r="I8" s="42"/>
      <c r="J8" s="29"/>
      <c r="K8" s="29"/>
      <c r="L8" s="194"/>
    </row>
    <row r="9">
      <c r="A9" s="38" t="s">
        <v>27</v>
      </c>
      <c r="B9" s="39" t="s">
        <v>28</v>
      </c>
      <c r="C9" s="40" t="s">
        <v>29</v>
      </c>
      <c r="D9" s="34"/>
      <c r="E9" s="182" t="s">
        <v>308</v>
      </c>
      <c r="F9" s="36"/>
      <c r="G9" s="29"/>
      <c r="H9" s="29" t="s">
        <v>24</v>
      </c>
      <c r="I9" s="42"/>
      <c r="J9" s="29"/>
      <c r="K9" s="29"/>
      <c r="L9" s="194"/>
    </row>
    <row r="10">
      <c r="A10" s="32"/>
      <c r="B10" s="32"/>
      <c r="C10" s="40" t="s">
        <v>31</v>
      </c>
      <c r="D10" s="34"/>
      <c r="E10" s="35"/>
      <c r="F10" s="36"/>
      <c r="G10" s="29"/>
      <c r="H10" s="29" t="s">
        <v>24</v>
      </c>
      <c r="I10" s="42"/>
      <c r="J10" s="29"/>
      <c r="K10" s="29"/>
      <c r="L10" s="194"/>
    </row>
    <row r="11">
      <c r="A11" s="32"/>
      <c r="B11" s="32"/>
      <c r="C11" s="40" t="s">
        <v>32</v>
      </c>
      <c r="D11" s="34"/>
      <c r="E11" s="35"/>
      <c r="F11" s="36"/>
      <c r="G11" s="29"/>
      <c r="H11" s="29" t="s">
        <v>24</v>
      </c>
      <c r="I11" s="42"/>
      <c r="J11" s="29"/>
      <c r="K11" s="29"/>
      <c r="L11" s="194"/>
    </row>
    <row r="12">
      <c r="A12" s="32"/>
      <c r="B12" s="32"/>
      <c r="C12" s="43" t="s">
        <v>33</v>
      </c>
      <c r="D12" s="34"/>
      <c r="E12" s="44" t="s">
        <v>34</v>
      </c>
      <c r="F12" s="36"/>
      <c r="G12" s="29"/>
      <c r="H12" s="29" t="s">
        <v>24</v>
      </c>
      <c r="I12" s="42"/>
      <c r="J12" s="29"/>
      <c r="K12" s="29"/>
      <c r="L12" s="194"/>
    </row>
    <row r="13">
      <c r="A13" s="32"/>
      <c r="B13" s="37"/>
      <c r="C13" s="40" t="s">
        <v>35</v>
      </c>
      <c r="D13" s="34"/>
      <c r="E13" s="35"/>
      <c r="F13" s="36"/>
      <c r="G13" s="29"/>
      <c r="H13" s="29" t="s">
        <v>24</v>
      </c>
      <c r="I13" s="42"/>
      <c r="J13" s="29"/>
      <c r="K13" s="29"/>
      <c r="L13" s="194"/>
    </row>
    <row r="14">
      <c r="A14" s="32"/>
      <c r="B14" s="45" t="s">
        <v>36</v>
      </c>
      <c r="C14" s="46" t="s">
        <v>37</v>
      </c>
      <c r="D14" s="34"/>
      <c r="E14" s="35"/>
      <c r="F14" s="47" t="s">
        <v>38</v>
      </c>
      <c r="G14" s="29"/>
      <c r="H14" s="29" t="s">
        <v>24</v>
      </c>
      <c r="I14" s="42"/>
      <c r="J14" s="29"/>
      <c r="K14" s="29"/>
      <c r="L14" s="194"/>
    </row>
    <row r="15">
      <c r="A15" s="32"/>
      <c r="B15" s="32"/>
      <c r="C15" s="33" t="s">
        <v>39</v>
      </c>
      <c r="D15" s="34"/>
      <c r="E15" s="35"/>
      <c r="F15" s="36"/>
      <c r="G15" s="29"/>
      <c r="H15" s="29" t="s">
        <v>24</v>
      </c>
      <c r="I15" s="42"/>
      <c r="J15" s="29"/>
      <c r="K15" s="29"/>
      <c r="L15" s="194"/>
    </row>
    <row r="16">
      <c r="A16" s="32"/>
      <c r="B16" s="32"/>
      <c r="C16" s="48" t="s">
        <v>40</v>
      </c>
      <c r="D16" s="34"/>
      <c r="E16" s="35"/>
      <c r="F16" s="36"/>
      <c r="G16" s="29"/>
      <c r="H16" s="29" t="s">
        <v>24</v>
      </c>
      <c r="I16" s="42"/>
      <c r="J16" s="29"/>
      <c r="K16" s="29"/>
      <c r="L16" s="194"/>
    </row>
    <row r="17">
      <c r="A17" s="32"/>
      <c r="B17" s="32"/>
      <c r="C17" s="49" t="s">
        <v>41</v>
      </c>
      <c r="D17" s="34"/>
      <c r="E17" s="35"/>
      <c r="F17" s="47" t="s">
        <v>38</v>
      </c>
      <c r="G17" s="29"/>
      <c r="H17" s="29" t="s">
        <v>24</v>
      </c>
      <c r="I17" s="42"/>
      <c r="J17" s="29"/>
      <c r="K17" s="29"/>
      <c r="L17" s="194"/>
    </row>
    <row r="18">
      <c r="A18" s="32"/>
      <c r="B18" s="37"/>
      <c r="C18" s="46" t="s">
        <v>42</v>
      </c>
      <c r="D18" s="34"/>
      <c r="E18" s="35"/>
      <c r="F18" s="36"/>
      <c r="G18" s="29"/>
      <c r="H18" s="29" t="s">
        <v>24</v>
      </c>
      <c r="I18" s="42"/>
      <c r="J18" s="29"/>
      <c r="K18" s="29"/>
      <c r="L18" s="194"/>
    </row>
    <row r="19">
      <c r="A19" s="32"/>
      <c r="B19" s="45" t="s">
        <v>43</v>
      </c>
      <c r="C19" s="40" t="s">
        <v>44</v>
      </c>
      <c r="D19" s="34"/>
      <c r="E19" s="35"/>
      <c r="F19" s="36"/>
      <c r="G19" s="29"/>
      <c r="H19" s="29" t="s">
        <v>24</v>
      </c>
      <c r="I19" s="42"/>
      <c r="J19" s="29"/>
      <c r="K19" s="29"/>
      <c r="L19" s="194"/>
    </row>
    <row r="20">
      <c r="A20" s="32"/>
      <c r="B20" s="32"/>
      <c r="C20" s="40" t="s">
        <v>45</v>
      </c>
      <c r="D20" s="34"/>
      <c r="E20" s="35"/>
      <c r="F20" s="36"/>
      <c r="G20" s="29"/>
      <c r="H20" s="29" t="s">
        <v>24</v>
      </c>
      <c r="I20" s="42"/>
      <c r="J20" s="29"/>
      <c r="K20" s="29"/>
      <c r="L20" s="194"/>
    </row>
    <row r="21">
      <c r="A21" s="32"/>
      <c r="B21" s="37"/>
      <c r="C21" s="40" t="s">
        <v>46</v>
      </c>
      <c r="D21" s="34"/>
      <c r="E21" s="35"/>
      <c r="F21" s="36"/>
      <c r="G21" s="29"/>
      <c r="H21" s="29" t="s">
        <v>24</v>
      </c>
      <c r="I21" s="42"/>
      <c r="J21" s="29"/>
      <c r="K21" s="29"/>
      <c r="L21" s="194"/>
    </row>
    <row r="22">
      <c r="A22" s="32"/>
      <c r="B22" s="45" t="s">
        <v>47</v>
      </c>
      <c r="C22" s="40" t="s">
        <v>48</v>
      </c>
      <c r="D22" s="34"/>
      <c r="E22" s="35"/>
      <c r="F22" s="36"/>
      <c r="G22" s="29"/>
      <c r="H22" s="29" t="s">
        <v>24</v>
      </c>
      <c r="I22" s="42"/>
      <c r="J22" s="29"/>
      <c r="K22" s="29"/>
      <c r="L22" s="194"/>
    </row>
    <row r="23">
      <c r="A23" s="32"/>
      <c r="B23" s="32"/>
      <c r="C23" s="40" t="s">
        <v>49</v>
      </c>
      <c r="D23" s="34"/>
      <c r="E23" s="35"/>
      <c r="F23" s="36"/>
      <c r="G23" s="29"/>
      <c r="H23" s="29" t="s">
        <v>24</v>
      </c>
      <c r="I23" s="42"/>
      <c r="J23" s="29"/>
      <c r="K23" s="29"/>
      <c r="L23" s="194"/>
    </row>
    <row r="24">
      <c r="A24" s="32"/>
      <c r="B24" s="32"/>
      <c r="C24" s="40" t="s">
        <v>50</v>
      </c>
      <c r="D24" s="34"/>
      <c r="E24" s="35"/>
      <c r="F24" s="36"/>
      <c r="G24" s="29"/>
      <c r="H24" s="29" t="s">
        <v>24</v>
      </c>
      <c r="I24" s="42"/>
      <c r="J24" s="29"/>
      <c r="K24" s="29"/>
      <c r="L24" s="194"/>
    </row>
    <row r="25">
      <c r="A25" s="32"/>
      <c r="B25" s="37"/>
      <c r="C25" s="40" t="s">
        <v>51</v>
      </c>
      <c r="D25" s="34"/>
      <c r="E25" s="35"/>
      <c r="F25" s="36"/>
      <c r="G25" s="29"/>
      <c r="H25" s="29" t="s">
        <v>24</v>
      </c>
      <c r="I25" s="42"/>
      <c r="J25" s="29"/>
      <c r="K25" s="29"/>
      <c r="L25" s="194"/>
    </row>
    <row r="26">
      <c r="A26" s="32"/>
      <c r="B26" s="39" t="s">
        <v>52</v>
      </c>
      <c r="C26" s="46" t="s">
        <v>53</v>
      </c>
      <c r="D26" s="34"/>
      <c r="E26" s="35"/>
      <c r="F26" s="36"/>
      <c r="G26" s="29"/>
      <c r="H26" s="29" t="s">
        <v>24</v>
      </c>
      <c r="I26" s="42"/>
      <c r="J26" s="29"/>
      <c r="K26" s="29"/>
      <c r="L26" s="194"/>
    </row>
    <row r="27">
      <c r="A27" s="32"/>
      <c r="B27" s="37"/>
      <c r="C27" s="46" t="s">
        <v>54</v>
      </c>
      <c r="D27" s="34"/>
      <c r="E27" s="35"/>
      <c r="F27" s="36"/>
      <c r="G27" s="29"/>
      <c r="H27" s="29" t="s">
        <v>24</v>
      </c>
      <c r="I27" s="42"/>
      <c r="J27" s="29"/>
      <c r="K27" s="29"/>
      <c r="L27" s="194"/>
    </row>
    <row r="28">
      <c r="A28" s="32"/>
      <c r="B28" s="45" t="s">
        <v>55</v>
      </c>
      <c r="C28" s="46" t="s">
        <v>56</v>
      </c>
      <c r="D28" s="34"/>
      <c r="E28" s="35"/>
      <c r="F28" s="36"/>
      <c r="G28" s="29"/>
      <c r="H28" s="29" t="s">
        <v>24</v>
      </c>
      <c r="I28" s="42"/>
      <c r="J28" s="29"/>
      <c r="K28" s="29"/>
      <c r="L28" s="194"/>
    </row>
    <row r="29">
      <c r="A29" s="32"/>
      <c r="B29" s="32"/>
      <c r="C29" s="46" t="s">
        <v>57</v>
      </c>
      <c r="D29" s="34"/>
      <c r="E29" s="35"/>
      <c r="F29" s="36"/>
      <c r="G29" s="29"/>
      <c r="H29" s="29" t="s">
        <v>24</v>
      </c>
      <c r="I29" s="42"/>
      <c r="J29" s="29"/>
      <c r="K29" s="29"/>
      <c r="L29" s="194"/>
    </row>
    <row r="30">
      <c r="A30" s="32"/>
      <c r="B30" s="32"/>
      <c r="C30" s="46" t="s">
        <v>58</v>
      </c>
      <c r="D30" s="34"/>
      <c r="E30" s="35"/>
      <c r="F30" s="36"/>
      <c r="G30" s="29"/>
      <c r="H30" s="29" t="s">
        <v>24</v>
      </c>
      <c r="I30" s="42"/>
      <c r="J30" s="29"/>
      <c r="K30" s="29"/>
      <c r="L30" s="194"/>
    </row>
    <row r="31">
      <c r="A31" s="32"/>
      <c r="B31" s="32"/>
      <c r="C31" s="49" t="s">
        <v>59</v>
      </c>
      <c r="D31" s="34"/>
      <c r="E31" s="35"/>
      <c r="F31" s="36"/>
      <c r="G31" s="29"/>
      <c r="H31" s="29" t="s">
        <v>24</v>
      </c>
      <c r="I31" s="42"/>
      <c r="J31" s="29"/>
      <c r="K31" s="29"/>
      <c r="L31" s="194"/>
    </row>
    <row r="32">
      <c r="A32" s="32"/>
      <c r="B32" s="32"/>
      <c r="C32" s="49" t="s">
        <v>60</v>
      </c>
      <c r="D32" s="34"/>
      <c r="E32" s="35"/>
      <c r="F32" s="36"/>
      <c r="G32" s="29"/>
      <c r="H32" s="29" t="s">
        <v>24</v>
      </c>
      <c r="I32" s="42"/>
      <c r="J32" s="29"/>
      <c r="K32" s="29"/>
      <c r="L32" s="194"/>
    </row>
    <row r="33">
      <c r="A33" s="32"/>
      <c r="B33" s="37"/>
      <c r="C33" s="48" t="s">
        <v>61</v>
      </c>
      <c r="D33" s="34"/>
      <c r="E33" s="44" t="s">
        <v>62</v>
      </c>
      <c r="F33" s="36"/>
      <c r="G33" s="29"/>
      <c r="H33" s="51" t="s">
        <v>332</v>
      </c>
      <c r="I33" s="42"/>
      <c r="J33" s="29"/>
      <c r="K33" s="29"/>
      <c r="L33" s="194"/>
    </row>
    <row r="34">
      <c r="A34" s="32"/>
      <c r="B34" s="45" t="s">
        <v>63</v>
      </c>
      <c r="C34" s="46" t="s">
        <v>64</v>
      </c>
      <c r="D34" s="34"/>
      <c r="E34" s="35"/>
      <c r="F34" s="36"/>
      <c r="G34" s="29"/>
      <c r="H34" s="29" t="s">
        <v>24</v>
      </c>
      <c r="I34" s="42"/>
      <c r="J34" s="29"/>
      <c r="K34" s="29"/>
      <c r="L34" s="194"/>
    </row>
    <row r="35">
      <c r="A35" s="32"/>
      <c r="B35" s="32"/>
      <c r="C35" s="46" t="s">
        <v>65</v>
      </c>
      <c r="D35" s="34"/>
      <c r="E35" s="35"/>
      <c r="F35" s="36"/>
      <c r="G35" s="29"/>
      <c r="H35" s="29" t="s">
        <v>24</v>
      </c>
      <c r="I35" s="42"/>
      <c r="J35" s="29"/>
      <c r="K35" s="29"/>
      <c r="L35" s="194"/>
    </row>
    <row r="36">
      <c r="A36" s="32"/>
      <c r="B36" s="32"/>
      <c r="C36" s="46" t="s">
        <v>66</v>
      </c>
      <c r="D36" s="34"/>
      <c r="E36" s="35"/>
      <c r="F36" s="36"/>
      <c r="G36" s="29"/>
      <c r="H36" s="29" t="s">
        <v>24</v>
      </c>
      <c r="I36" s="42"/>
      <c r="J36" s="29"/>
      <c r="K36" s="29"/>
      <c r="L36" s="194"/>
    </row>
    <row r="37">
      <c r="A37" s="32"/>
      <c r="B37" s="32"/>
      <c r="C37" s="46" t="s">
        <v>310</v>
      </c>
      <c r="D37" s="34"/>
      <c r="E37" s="35"/>
      <c r="F37" s="36"/>
      <c r="G37" s="29"/>
      <c r="H37" s="29" t="s">
        <v>24</v>
      </c>
      <c r="I37" s="42"/>
      <c r="J37" s="29"/>
      <c r="K37" s="29"/>
      <c r="L37" s="194"/>
    </row>
    <row r="38">
      <c r="A38" s="32"/>
      <c r="B38" s="37"/>
      <c r="C38" s="46" t="s">
        <v>68</v>
      </c>
      <c r="D38" s="34"/>
      <c r="E38" s="35"/>
      <c r="F38" s="36"/>
      <c r="G38" s="29"/>
      <c r="H38" s="29" t="s">
        <v>24</v>
      </c>
      <c r="I38" s="42"/>
      <c r="J38" s="29"/>
      <c r="K38" s="29"/>
      <c r="L38" s="194"/>
    </row>
    <row r="39">
      <c r="A39" s="32"/>
      <c r="B39" s="45" t="s">
        <v>70</v>
      </c>
      <c r="C39" s="46" t="s">
        <v>71</v>
      </c>
      <c r="D39" s="34"/>
      <c r="E39" s="35"/>
      <c r="F39" s="36"/>
      <c r="G39" s="29"/>
      <c r="H39" s="29" t="s">
        <v>24</v>
      </c>
      <c r="I39" s="42"/>
      <c r="J39" s="29"/>
      <c r="K39" s="29"/>
      <c r="L39" s="194"/>
    </row>
    <row r="40">
      <c r="A40" s="32"/>
      <c r="B40" s="37"/>
      <c r="C40" s="46" t="s">
        <v>72</v>
      </c>
      <c r="D40" s="34"/>
      <c r="E40" s="35"/>
      <c r="F40" s="36"/>
      <c r="G40" s="29"/>
      <c r="H40" s="29" t="s">
        <v>24</v>
      </c>
      <c r="I40" s="42"/>
      <c r="J40" s="29"/>
      <c r="K40" s="29"/>
      <c r="L40" s="194"/>
    </row>
    <row r="41">
      <c r="A41" s="32"/>
      <c r="B41" s="53" t="s">
        <v>73</v>
      </c>
      <c r="C41" s="46" t="s">
        <v>74</v>
      </c>
      <c r="D41" s="34"/>
      <c r="E41" s="35"/>
      <c r="F41" s="36"/>
      <c r="G41" s="29"/>
      <c r="H41" s="29" t="s">
        <v>24</v>
      </c>
      <c r="I41" s="42"/>
      <c r="J41" s="29"/>
      <c r="K41" s="29"/>
      <c r="L41" s="195" t="s">
        <v>24</v>
      </c>
    </row>
    <row r="42">
      <c r="A42" s="32"/>
      <c r="B42" s="32"/>
      <c r="C42" s="55" t="s">
        <v>75</v>
      </c>
      <c r="D42" s="34"/>
      <c r="E42" s="35"/>
      <c r="F42" s="56"/>
      <c r="G42" s="29"/>
      <c r="H42" s="29" t="s">
        <v>24</v>
      </c>
      <c r="I42" s="42"/>
      <c r="J42" s="29"/>
      <c r="K42" s="29"/>
      <c r="L42" s="195" t="s">
        <v>24</v>
      </c>
    </row>
    <row r="43">
      <c r="A43" s="32"/>
      <c r="B43" s="32"/>
      <c r="C43" s="46" t="s">
        <v>76</v>
      </c>
      <c r="D43" s="34"/>
      <c r="E43" s="44" t="s">
        <v>77</v>
      </c>
      <c r="F43" s="36"/>
      <c r="G43" s="29"/>
      <c r="H43" s="29" t="s">
        <v>24</v>
      </c>
      <c r="I43" s="29"/>
      <c r="J43" s="29"/>
      <c r="K43" s="29"/>
      <c r="L43" s="29"/>
    </row>
    <row r="44">
      <c r="A44" s="32"/>
      <c r="B44" s="37"/>
      <c r="C44" s="57" t="s">
        <v>78</v>
      </c>
      <c r="D44" s="34"/>
      <c r="F44" s="36"/>
      <c r="G44" s="29"/>
      <c r="H44" s="29" t="s">
        <v>24</v>
      </c>
      <c r="I44" s="29"/>
      <c r="J44" s="29"/>
      <c r="K44" s="29"/>
      <c r="L44" s="29" t="s">
        <v>24</v>
      </c>
    </row>
    <row r="45">
      <c r="A45" s="32"/>
      <c r="B45" s="45" t="s">
        <v>79</v>
      </c>
      <c r="C45" s="46" t="s">
        <v>80</v>
      </c>
      <c r="D45" s="34"/>
      <c r="E45" s="35"/>
      <c r="F45" s="36"/>
      <c r="G45" s="29"/>
      <c r="H45" s="29" t="s">
        <v>24</v>
      </c>
      <c r="I45" s="42"/>
      <c r="J45" s="29"/>
      <c r="K45" s="29"/>
      <c r="L45" s="195" t="s">
        <v>24</v>
      </c>
    </row>
    <row r="46">
      <c r="A46" s="32"/>
      <c r="B46" s="32"/>
      <c r="C46" s="55" t="s">
        <v>81</v>
      </c>
      <c r="D46" s="34"/>
      <c r="E46" s="35"/>
      <c r="F46" s="36"/>
      <c r="G46" s="29"/>
      <c r="H46" s="29" t="s">
        <v>24</v>
      </c>
      <c r="I46" s="29"/>
      <c r="J46" s="29"/>
      <c r="K46" s="29"/>
      <c r="L46" s="29"/>
    </row>
    <row r="47">
      <c r="A47" s="32"/>
      <c r="B47" s="32"/>
      <c r="C47" s="55" t="s">
        <v>82</v>
      </c>
      <c r="D47" s="34"/>
      <c r="E47" s="35"/>
      <c r="F47" s="58" t="s">
        <v>83</v>
      </c>
      <c r="G47" s="29"/>
      <c r="H47" s="29" t="s">
        <v>24</v>
      </c>
      <c r="I47" s="29"/>
      <c r="J47" s="29"/>
      <c r="K47" s="29"/>
      <c r="L47" s="29" t="s">
        <v>24</v>
      </c>
    </row>
    <row r="48">
      <c r="A48" s="32"/>
      <c r="B48" s="37"/>
      <c r="C48" s="55" t="s">
        <v>84</v>
      </c>
      <c r="D48" s="34"/>
      <c r="E48" s="35"/>
      <c r="F48" s="56"/>
      <c r="G48" s="29"/>
      <c r="H48" s="29" t="s">
        <v>24</v>
      </c>
      <c r="I48" s="29"/>
      <c r="J48" s="196"/>
      <c r="K48" s="196"/>
      <c r="L48" s="29" t="s">
        <v>24</v>
      </c>
    </row>
    <row r="49">
      <c r="A49" s="32"/>
      <c r="B49" s="45" t="s">
        <v>85</v>
      </c>
      <c r="C49" s="59" t="s">
        <v>86</v>
      </c>
      <c r="D49" s="34"/>
      <c r="E49" s="44" t="s">
        <v>34</v>
      </c>
      <c r="F49" s="56"/>
      <c r="G49" s="30"/>
      <c r="H49" s="29" t="s">
        <v>24</v>
      </c>
      <c r="I49" s="29"/>
      <c r="J49" s="197"/>
      <c r="K49" s="197"/>
      <c r="L49" s="29" t="s">
        <v>24</v>
      </c>
    </row>
    <row r="50">
      <c r="A50" s="32"/>
      <c r="B50" s="32"/>
      <c r="C50" s="60" t="s">
        <v>87</v>
      </c>
      <c r="D50" s="34"/>
      <c r="E50" s="34"/>
      <c r="F50" s="58" t="s">
        <v>38</v>
      </c>
      <c r="G50" s="30"/>
      <c r="H50" s="29" t="s">
        <v>24</v>
      </c>
      <c r="I50" s="29"/>
      <c r="J50" s="197"/>
      <c r="K50" s="197"/>
      <c r="L50" s="29" t="s">
        <v>24</v>
      </c>
    </row>
    <row r="51">
      <c r="A51" s="32"/>
      <c r="B51" s="32"/>
      <c r="C51" s="61" t="s">
        <v>88</v>
      </c>
      <c r="D51" s="34"/>
      <c r="E51" s="34"/>
      <c r="F51" s="56"/>
      <c r="G51" s="30"/>
      <c r="H51" s="30" t="s">
        <v>24</v>
      </c>
      <c r="I51" s="29"/>
      <c r="J51" s="197"/>
      <c r="K51" s="197"/>
      <c r="L51" s="29" t="s">
        <v>24</v>
      </c>
    </row>
    <row r="52">
      <c r="A52" s="32"/>
      <c r="B52" s="32"/>
      <c r="C52" s="55" t="s">
        <v>89</v>
      </c>
      <c r="D52" s="34"/>
      <c r="E52" s="35"/>
      <c r="F52" s="36"/>
      <c r="G52" s="30"/>
      <c r="H52" s="30" t="s">
        <v>24</v>
      </c>
      <c r="I52" s="30"/>
      <c r="J52" s="197"/>
      <c r="K52" s="197"/>
      <c r="L52" s="30" t="s">
        <v>24</v>
      </c>
    </row>
    <row r="53">
      <c r="A53" s="32"/>
      <c r="B53" s="32"/>
      <c r="C53" s="55" t="s">
        <v>90</v>
      </c>
      <c r="D53" s="34"/>
      <c r="E53" s="35"/>
      <c r="F53" s="36"/>
      <c r="G53" s="30"/>
      <c r="H53" s="30" t="s">
        <v>24</v>
      </c>
      <c r="I53" s="30"/>
      <c r="J53" s="197"/>
      <c r="K53" s="197"/>
      <c r="L53" s="30"/>
    </row>
    <row r="54">
      <c r="A54" s="32"/>
      <c r="B54" s="32"/>
      <c r="C54" s="62" t="s">
        <v>91</v>
      </c>
      <c r="D54" s="34"/>
      <c r="E54" s="35"/>
      <c r="F54" s="36"/>
      <c r="G54" s="30"/>
      <c r="H54" s="30" t="s">
        <v>24</v>
      </c>
      <c r="I54" s="29"/>
      <c r="J54" s="197"/>
      <c r="K54" s="197"/>
      <c r="L54" s="29" t="s">
        <v>24</v>
      </c>
    </row>
    <row r="55">
      <c r="A55" s="32"/>
      <c r="B55" s="37"/>
      <c r="C55" s="55" t="s">
        <v>92</v>
      </c>
      <c r="D55" s="34"/>
      <c r="E55" s="35"/>
      <c r="F55" s="56"/>
      <c r="G55" s="30"/>
      <c r="H55" s="30" t="s">
        <v>24</v>
      </c>
      <c r="I55" s="29"/>
      <c r="J55" s="197"/>
      <c r="K55" s="197"/>
      <c r="L55" s="29" t="s">
        <v>24</v>
      </c>
    </row>
    <row r="56">
      <c r="A56" s="32"/>
      <c r="B56" s="45" t="s">
        <v>93</v>
      </c>
      <c r="C56" s="63" t="s">
        <v>94</v>
      </c>
      <c r="D56" s="34"/>
      <c r="E56" s="35"/>
      <c r="F56" s="56"/>
      <c r="G56" s="30"/>
      <c r="H56" s="30" t="s">
        <v>24</v>
      </c>
      <c r="I56" s="29"/>
      <c r="J56" s="197"/>
      <c r="K56" s="197"/>
      <c r="L56" s="29" t="s">
        <v>24</v>
      </c>
    </row>
    <row r="57">
      <c r="A57" s="32"/>
      <c r="B57" s="37"/>
      <c r="C57" s="64" t="s">
        <v>95</v>
      </c>
      <c r="D57" s="34"/>
      <c r="E57" s="65" t="s">
        <v>96</v>
      </c>
      <c r="F57" s="56" t="s">
        <v>311</v>
      </c>
      <c r="G57" s="30"/>
      <c r="H57" s="30" t="s">
        <v>24</v>
      </c>
      <c r="I57" s="29"/>
      <c r="J57" s="197"/>
      <c r="K57" s="197"/>
      <c r="L57" s="29" t="s">
        <v>24</v>
      </c>
    </row>
    <row r="58">
      <c r="A58" s="32"/>
      <c r="B58" s="45" t="s">
        <v>98</v>
      </c>
      <c r="C58" s="60" t="s">
        <v>99</v>
      </c>
      <c r="D58" s="34"/>
      <c r="E58" s="44" t="s">
        <v>100</v>
      </c>
      <c r="F58" s="58" t="s">
        <v>101</v>
      </c>
      <c r="G58" s="29"/>
      <c r="H58" s="29" t="s">
        <v>24</v>
      </c>
      <c r="I58" s="29"/>
      <c r="J58" s="196"/>
      <c r="K58" s="196"/>
      <c r="L58" s="29"/>
    </row>
    <row r="59">
      <c r="A59" s="32"/>
      <c r="B59" s="32"/>
      <c r="C59" s="49" t="s">
        <v>102</v>
      </c>
      <c r="D59" s="34"/>
      <c r="E59" s="67" t="s">
        <v>100</v>
      </c>
      <c r="F59" s="58" t="s">
        <v>103</v>
      </c>
      <c r="G59" s="30"/>
      <c r="H59" s="30" t="s">
        <v>24</v>
      </c>
      <c r="I59" s="29"/>
      <c r="J59" s="197"/>
      <c r="K59" s="197"/>
      <c r="L59" s="29" t="s">
        <v>24</v>
      </c>
    </row>
    <row r="60">
      <c r="A60" s="32"/>
      <c r="B60" s="32"/>
      <c r="C60" s="46" t="s">
        <v>104</v>
      </c>
      <c r="D60" s="34"/>
      <c r="E60" s="34"/>
      <c r="F60" s="56" t="s">
        <v>105</v>
      </c>
      <c r="G60" s="30"/>
      <c r="H60" s="30" t="s">
        <v>12</v>
      </c>
      <c r="I60" s="30"/>
      <c r="J60" s="197"/>
      <c r="K60" s="197"/>
      <c r="L60" s="30"/>
    </row>
    <row r="61">
      <c r="A61" s="37"/>
      <c r="B61" s="37"/>
      <c r="C61" s="68" t="s">
        <v>106</v>
      </c>
      <c r="D61" s="69"/>
      <c r="E61" s="69"/>
      <c r="F61" s="70" t="s">
        <v>107</v>
      </c>
      <c r="G61" s="30"/>
      <c r="H61" s="30" t="s">
        <v>12</v>
      </c>
      <c r="I61" s="30"/>
      <c r="J61" s="197"/>
      <c r="K61" s="197"/>
      <c r="L61" s="30"/>
    </row>
    <row r="62">
      <c r="A62" s="71" t="s">
        <v>108</v>
      </c>
      <c r="B62" s="72" t="s">
        <v>109</v>
      </c>
      <c r="C62" s="73" t="s">
        <v>110</v>
      </c>
      <c r="D62" s="74"/>
      <c r="E62" s="74"/>
      <c r="F62" s="75"/>
      <c r="G62" s="30"/>
      <c r="H62" s="30" t="s">
        <v>24</v>
      </c>
      <c r="I62" s="30"/>
      <c r="J62" s="197"/>
      <c r="K62" s="197"/>
      <c r="L62" s="30"/>
    </row>
    <row r="63">
      <c r="A63" s="32"/>
      <c r="B63" s="32"/>
      <c r="C63" s="77" t="s">
        <v>112</v>
      </c>
      <c r="D63" s="78"/>
      <c r="E63" s="78"/>
      <c r="F63" s="79"/>
      <c r="G63" s="30"/>
      <c r="H63" s="30" t="s">
        <v>24</v>
      </c>
      <c r="I63" s="30"/>
      <c r="J63" s="197"/>
      <c r="K63" s="197"/>
      <c r="L63" s="30"/>
    </row>
    <row r="64">
      <c r="A64" s="32"/>
      <c r="B64" s="32"/>
      <c r="C64" s="80" t="s">
        <v>113</v>
      </c>
      <c r="D64" s="78"/>
      <c r="E64" s="81"/>
      <c r="F64" s="183" t="s">
        <v>38</v>
      </c>
      <c r="G64" s="30"/>
      <c r="H64" s="30" t="s">
        <v>24</v>
      </c>
      <c r="I64" s="30"/>
      <c r="J64" s="197"/>
      <c r="K64" s="197"/>
      <c r="L64" s="30"/>
    </row>
    <row r="65">
      <c r="A65" s="32"/>
      <c r="B65" s="32"/>
      <c r="C65" s="83" t="s">
        <v>114</v>
      </c>
      <c r="D65" s="78"/>
      <c r="E65" s="184" t="s">
        <v>115</v>
      </c>
      <c r="F65" s="79"/>
      <c r="G65" s="30"/>
      <c r="H65" s="30" t="s">
        <v>24</v>
      </c>
      <c r="I65" s="30"/>
      <c r="J65" s="197"/>
      <c r="K65" s="197"/>
      <c r="L65" s="30"/>
    </row>
    <row r="66">
      <c r="A66" s="32"/>
      <c r="B66" s="32"/>
      <c r="C66" s="85" t="s">
        <v>116</v>
      </c>
      <c r="D66" s="78"/>
      <c r="E66" s="78"/>
      <c r="F66" s="89" t="s">
        <v>117</v>
      </c>
      <c r="G66" s="30"/>
      <c r="H66" s="30" t="s">
        <v>24</v>
      </c>
      <c r="I66" s="30"/>
      <c r="J66" s="197"/>
      <c r="K66" s="197"/>
      <c r="L66" s="30"/>
    </row>
    <row r="67">
      <c r="A67" s="32"/>
      <c r="B67" s="32"/>
      <c r="C67" s="87" t="s">
        <v>118</v>
      </c>
      <c r="D67" s="78"/>
      <c r="E67" s="88" t="s">
        <v>312</v>
      </c>
      <c r="F67" s="89"/>
      <c r="G67" s="30"/>
      <c r="H67" s="30" t="s">
        <v>24</v>
      </c>
      <c r="I67" s="30"/>
      <c r="J67" s="197"/>
      <c r="K67" s="197"/>
      <c r="L67" s="30"/>
    </row>
    <row r="68">
      <c r="A68" s="32"/>
      <c r="B68" s="32"/>
      <c r="C68" s="90" t="s">
        <v>120</v>
      </c>
      <c r="D68" s="78"/>
      <c r="E68" s="184" t="s">
        <v>121</v>
      </c>
      <c r="F68" s="89" t="s">
        <v>122</v>
      </c>
      <c r="G68" s="30"/>
      <c r="H68" s="30" t="s">
        <v>24</v>
      </c>
      <c r="I68" s="30"/>
      <c r="J68" s="197"/>
      <c r="K68" s="197"/>
      <c r="L68" s="30"/>
    </row>
    <row r="69">
      <c r="A69" s="32"/>
      <c r="B69" s="32"/>
      <c r="C69" s="91" t="s">
        <v>123</v>
      </c>
      <c r="D69" s="78"/>
      <c r="E69" s="78"/>
      <c r="F69" s="89" t="s">
        <v>124</v>
      </c>
      <c r="G69" s="30"/>
      <c r="H69" s="30" t="s">
        <v>24</v>
      </c>
      <c r="I69" s="30"/>
      <c r="J69" s="197"/>
      <c r="K69" s="197"/>
      <c r="L69" s="30"/>
    </row>
    <row r="70">
      <c r="A70" s="32"/>
      <c r="B70" s="32"/>
      <c r="C70" s="92" t="s">
        <v>125</v>
      </c>
      <c r="D70" s="78"/>
      <c r="E70" s="78"/>
      <c r="F70" s="89" t="s">
        <v>126</v>
      </c>
      <c r="G70" s="30"/>
      <c r="H70" s="30" t="s">
        <v>24</v>
      </c>
      <c r="I70" s="30"/>
      <c r="J70" s="197"/>
      <c r="K70" s="197"/>
      <c r="L70" s="30"/>
    </row>
    <row r="71">
      <c r="A71" s="32"/>
      <c r="B71" s="32"/>
      <c r="C71" s="77" t="s">
        <v>127</v>
      </c>
      <c r="D71" s="78"/>
      <c r="E71" s="78"/>
      <c r="F71" s="89" t="s">
        <v>128</v>
      </c>
      <c r="G71" s="30"/>
      <c r="H71" s="29" t="s">
        <v>24</v>
      </c>
      <c r="I71" s="30"/>
      <c r="J71" s="197"/>
      <c r="K71" s="197"/>
      <c r="L71" s="30"/>
    </row>
    <row r="72">
      <c r="A72" s="32"/>
      <c r="B72" s="32"/>
      <c r="C72" s="93" t="s">
        <v>129</v>
      </c>
      <c r="D72" s="78"/>
      <c r="E72" s="185" t="s">
        <v>313</v>
      </c>
      <c r="F72" s="79"/>
      <c r="G72" s="30"/>
      <c r="H72" s="30" t="s">
        <v>24</v>
      </c>
      <c r="I72" s="30"/>
      <c r="J72" s="197"/>
      <c r="K72" s="197"/>
      <c r="L72" s="30"/>
    </row>
    <row r="73">
      <c r="A73" s="32"/>
      <c r="B73" s="32"/>
      <c r="C73" s="95" t="s">
        <v>131</v>
      </c>
      <c r="D73" s="78"/>
      <c r="E73" s="78"/>
      <c r="F73" s="79"/>
      <c r="G73" s="30"/>
      <c r="H73" s="30"/>
      <c r="I73" s="30"/>
      <c r="J73" s="197"/>
      <c r="K73" s="197"/>
      <c r="L73" s="30"/>
    </row>
    <row r="74">
      <c r="A74" s="32"/>
      <c r="B74" s="32"/>
      <c r="C74" s="96" t="s">
        <v>132</v>
      </c>
      <c r="D74" s="78"/>
      <c r="E74" s="78"/>
      <c r="F74" s="97" t="s">
        <v>133</v>
      </c>
      <c r="G74" s="29"/>
      <c r="H74" s="29" t="s">
        <v>24</v>
      </c>
      <c r="I74" s="29"/>
      <c r="J74" s="196"/>
      <c r="K74" s="196"/>
      <c r="L74" s="29"/>
    </row>
    <row r="75">
      <c r="A75" s="32"/>
      <c r="B75" s="32"/>
      <c r="C75" s="98" t="s">
        <v>134</v>
      </c>
      <c r="D75" s="78"/>
      <c r="E75" s="186" t="s">
        <v>135</v>
      </c>
      <c r="F75" s="97" t="s">
        <v>136</v>
      </c>
      <c r="G75" s="29"/>
      <c r="H75" s="29" t="s">
        <v>24</v>
      </c>
      <c r="I75" s="29"/>
      <c r="J75" s="198"/>
      <c r="K75" s="199"/>
      <c r="L75" s="29"/>
    </row>
    <row r="76">
      <c r="A76" s="32"/>
      <c r="B76" s="32"/>
      <c r="C76" s="92" t="s">
        <v>137</v>
      </c>
      <c r="D76" s="78"/>
      <c r="E76" s="78"/>
      <c r="F76" s="79"/>
      <c r="G76" s="29"/>
      <c r="H76" s="29"/>
      <c r="I76" s="29"/>
      <c r="J76" s="198"/>
      <c r="K76" s="199"/>
      <c r="L76" s="29"/>
    </row>
    <row r="77">
      <c r="A77" s="32"/>
      <c r="B77" s="32"/>
      <c r="C77" s="92" t="s">
        <v>138</v>
      </c>
      <c r="D77" s="78"/>
      <c r="E77" s="78"/>
      <c r="F77" s="79"/>
      <c r="G77" s="29"/>
      <c r="H77" s="29"/>
      <c r="I77" s="29"/>
      <c r="J77" s="198"/>
      <c r="K77" s="199"/>
      <c r="L77" s="29"/>
    </row>
    <row r="78">
      <c r="A78" s="32"/>
      <c r="B78" s="37"/>
      <c r="C78" s="101" t="s">
        <v>139</v>
      </c>
      <c r="D78" s="78"/>
      <c r="E78" s="78"/>
      <c r="F78" s="79"/>
      <c r="G78" s="29"/>
      <c r="H78" s="29" t="s">
        <v>24</v>
      </c>
      <c r="I78" s="29"/>
      <c r="J78" s="198"/>
      <c r="K78" s="199"/>
      <c r="L78" s="29"/>
    </row>
    <row r="79">
      <c r="A79" s="32"/>
      <c r="B79" s="102" t="s">
        <v>140</v>
      </c>
      <c r="C79" s="103" t="s">
        <v>141</v>
      </c>
      <c r="D79" s="186" t="s">
        <v>333</v>
      </c>
      <c r="E79" s="187" t="s">
        <v>314</v>
      </c>
      <c r="F79" s="79"/>
      <c r="G79" s="29"/>
      <c r="H79" s="105" t="s">
        <v>24</v>
      </c>
      <c r="I79" s="105" t="s">
        <v>24</v>
      </c>
      <c r="J79" s="198"/>
      <c r="K79" s="199"/>
      <c r="L79" s="29"/>
    </row>
    <row r="80">
      <c r="A80" s="32"/>
      <c r="B80" s="32"/>
      <c r="C80" s="106" t="s">
        <v>145</v>
      </c>
      <c r="D80" s="78"/>
      <c r="E80" s="78"/>
      <c r="F80" s="89"/>
      <c r="G80" s="29"/>
      <c r="H80" s="29" t="s">
        <v>24</v>
      </c>
      <c r="I80" s="29"/>
      <c r="J80" s="198"/>
      <c r="K80" s="199"/>
      <c r="L80" s="29"/>
    </row>
    <row r="81">
      <c r="A81" s="32"/>
      <c r="B81" s="32"/>
      <c r="C81" s="93" t="s">
        <v>146</v>
      </c>
      <c r="D81" s="78"/>
      <c r="E81" s="78"/>
      <c r="F81" s="89" t="s">
        <v>147</v>
      </c>
      <c r="G81" s="29"/>
      <c r="H81" s="29" t="s">
        <v>24</v>
      </c>
      <c r="I81" s="29"/>
      <c r="J81" s="198"/>
      <c r="K81" s="199"/>
      <c r="L81" s="29"/>
    </row>
    <row r="82">
      <c r="A82" s="32"/>
      <c r="B82" s="32"/>
      <c r="C82" s="107" t="s">
        <v>148</v>
      </c>
      <c r="D82" s="78"/>
      <c r="E82" s="78"/>
      <c r="F82" s="89" t="s">
        <v>149</v>
      </c>
      <c r="G82" s="29"/>
      <c r="H82" s="29"/>
      <c r="I82" s="29"/>
      <c r="J82" s="196"/>
      <c r="K82" s="196"/>
      <c r="L82" s="29"/>
    </row>
    <row r="83">
      <c r="A83" s="32"/>
      <c r="B83" s="32"/>
      <c r="C83" s="108" t="s">
        <v>150</v>
      </c>
      <c r="D83" s="78"/>
      <c r="E83" s="78"/>
      <c r="F83" s="89" t="s">
        <v>149</v>
      </c>
      <c r="G83" s="30"/>
      <c r="H83" s="30"/>
      <c r="I83" s="30"/>
      <c r="J83" s="197"/>
      <c r="K83" s="197"/>
      <c r="L83" s="30"/>
    </row>
    <row r="84">
      <c r="A84" s="32"/>
      <c r="B84" s="32"/>
      <c r="C84" s="109" t="s">
        <v>151</v>
      </c>
      <c r="D84" s="78"/>
      <c r="E84" s="186" t="s">
        <v>152</v>
      </c>
      <c r="F84" s="183" t="s">
        <v>153</v>
      </c>
      <c r="G84" s="30"/>
      <c r="H84" s="30"/>
      <c r="I84" s="30"/>
      <c r="J84" s="197"/>
      <c r="K84" s="197"/>
      <c r="L84" s="30"/>
    </row>
    <row r="85">
      <c r="A85" s="32"/>
      <c r="B85" s="32"/>
      <c r="C85" s="110" t="s">
        <v>154</v>
      </c>
      <c r="D85" s="78"/>
      <c r="E85" s="78"/>
      <c r="F85" s="79"/>
      <c r="G85" s="30"/>
      <c r="H85" s="30"/>
      <c r="I85" s="30"/>
      <c r="J85" s="197"/>
      <c r="K85" s="197"/>
      <c r="L85" s="30"/>
    </row>
    <row r="86">
      <c r="A86" s="32"/>
      <c r="B86" s="32"/>
      <c r="C86" s="111" t="s">
        <v>155</v>
      </c>
      <c r="D86" s="78"/>
      <c r="E86" s="78"/>
      <c r="F86" s="97" t="s">
        <v>156</v>
      </c>
      <c r="G86" s="30"/>
      <c r="H86" s="30"/>
      <c r="I86" s="30"/>
      <c r="J86" s="197"/>
      <c r="K86" s="197"/>
      <c r="L86" s="30"/>
    </row>
    <row r="87">
      <c r="A87" s="32"/>
      <c r="B87" s="32"/>
      <c r="C87" s="112" t="s">
        <v>157</v>
      </c>
      <c r="D87" s="78"/>
      <c r="E87" s="184" t="s">
        <v>158</v>
      </c>
      <c r="F87" s="79"/>
      <c r="G87" s="30"/>
      <c r="H87" s="30"/>
      <c r="I87" s="30"/>
      <c r="J87" s="197"/>
      <c r="K87" s="197"/>
      <c r="L87" s="30"/>
    </row>
    <row r="88">
      <c r="A88" s="32"/>
      <c r="B88" s="32"/>
      <c r="C88" s="83" t="s">
        <v>159</v>
      </c>
      <c r="D88" s="78"/>
      <c r="E88" s="186" t="s">
        <v>160</v>
      </c>
      <c r="F88" s="79"/>
      <c r="G88" s="30"/>
      <c r="H88" s="30" t="s">
        <v>24</v>
      </c>
      <c r="I88" s="30"/>
      <c r="J88" s="197"/>
      <c r="K88" s="197"/>
      <c r="L88" s="30"/>
    </row>
    <row r="89">
      <c r="A89" s="32"/>
      <c r="B89" s="32"/>
      <c r="C89" s="93" t="s">
        <v>161</v>
      </c>
      <c r="D89" s="78"/>
      <c r="E89" s="78"/>
      <c r="F89" s="79"/>
      <c r="G89" s="30"/>
      <c r="H89" s="30" t="s">
        <v>24</v>
      </c>
      <c r="I89" s="30"/>
      <c r="J89" s="197"/>
      <c r="K89" s="197"/>
      <c r="L89" s="30"/>
    </row>
    <row r="90">
      <c r="A90" s="32"/>
      <c r="B90" s="32"/>
      <c r="C90" s="93" t="s">
        <v>162</v>
      </c>
      <c r="D90" s="78"/>
      <c r="E90" s="186" t="s">
        <v>163</v>
      </c>
      <c r="F90" s="113"/>
      <c r="G90" s="30"/>
      <c r="H90" s="30" t="s">
        <v>24</v>
      </c>
      <c r="I90" s="30"/>
      <c r="J90" s="197"/>
      <c r="K90" s="197"/>
      <c r="L90" s="30"/>
    </row>
    <row r="91">
      <c r="A91" s="32"/>
      <c r="B91" s="32"/>
      <c r="C91" s="106" t="s">
        <v>164</v>
      </c>
      <c r="D91" s="78"/>
      <c r="E91" s="78"/>
      <c r="F91" s="114" t="s">
        <v>165</v>
      </c>
      <c r="G91" s="30"/>
      <c r="H91" s="30"/>
      <c r="I91" s="30"/>
      <c r="J91" s="197"/>
      <c r="K91" s="197"/>
      <c r="L91" s="30"/>
    </row>
    <row r="92">
      <c r="A92" s="32"/>
      <c r="B92" s="32"/>
      <c r="C92" s="106" t="s">
        <v>166</v>
      </c>
      <c r="D92" s="78"/>
      <c r="E92" s="78"/>
      <c r="F92" s="183" t="s">
        <v>167</v>
      </c>
      <c r="G92" s="30"/>
      <c r="H92" s="30" t="s">
        <v>24</v>
      </c>
      <c r="I92" s="30"/>
      <c r="J92" s="197"/>
      <c r="K92" s="197"/>
      <c r="L92" s="30"/>
    </row>
    <row r="93">
      <c r="A93" s="32"/>
      <c r="B93" s="37"/>
      <c r="C93" s="93" t="s">
        <v>168</v>
      </c>
      <c r="D93" s="78"/>
      <c r="E93" s="78"/>
      <c r="F93" s="79"/>
      <c r="G93" s="30"/>
      <c r="H93" s="30" t="s">
        <v>24</v>
      </c>
      <c r="I93" s="30"/>
      <c r="J93" s="197"/>
      <c r="K93" s="197"/>
      <c r="L93" s="30"/>
    </row>
    <row r="94">
      <c r="A94" s="32"/>
      <c r="B94" s="115" t="s">
        <v>169</v>
      </c>
      <c r="C94" s="85" t="s">
        <v>141</v>
      </c>
      <c r="D94" s="78"/>
      <c r="E94" s="78"/>
      <c r="F94" s="89" t="s">
        <v>170</v>
      </c>
      <c r="G94" s="30"/>
      <c r="H94" s="30"/>
      <c r="I94" s="30"/>
      <c r="J94" s="197"/>
      <c r="K94" s="197"/>
      <c r="L94" s="30"/>
    </row>
    <row r="95">
      <c r="A95" s="32"/>
      <c r="B95" s="32"/>
      <c r="C95" s="85" t="s">
        <v>171</v>
      </c>
      <c r="D95" s="186" t="s">
        <v>334</v>
      </c>
      <c r="E95" s="78"/>
      <c r="F95" s="183" t="s">
        <v>173</v>
      </c>
      <c r="G95" s="30"/>
      <c r="H95" s="30"/>
      <c r="I95" s="30"/>
      <c r="J95" s="197"/>
      <c r="K95" s="197"/>
      <c r="L95" s="30"/>
    </row>
    <row r="96">
      <c r="A96" s="32"/>
      <c r="B96" s="32"/>
      <c r="C96" s="116" t="s">
        <v>315</v>
      </c>
      <c r="D96" s="78"/>
      <c r="E96" s="78"/>
      <c r="F96" s="117" t="s">
        <v>176</v>
      </c>
      <c r="G96" s="30"/>
      <c r="H96" s="30"/>
      <c r="I96" s="30"/>
      <c r="J96" s="197"/>
      <c r="K96" s="197"/>
      <c r="L96" s="30"/>
    </row>
    <row r="97">
      <c r="A97" s="32"/>
      <c r="B97" s="37"/>
      <c r="C97" s="77" t="s">
        <v>177</v>
      </c>
      <c r="D97" s="78"/>
      <c r="E97" s="78"/>
      <c r="F97" s="79"/>
      <c r="G97" s="30"/>
      <c r="H97" s="30"/>
      <c r="I97" s="30"/>
      <c r="J97" s="197"/>
      <c r="K97" s="197"/>
      <c r="L97" s="30"/>
    </row>
    <row r="98">
      <c r="A98" s="32"/>
      <c r="B98" s="102" t="s">
        <v>178</v>
      </c>
      <c r="C98" s="93" t="s">
        <v>179</v>
      </c>
      <c r="D98" s="78"/>
      <c r="E98" s="78"/>
      <c r="F98" s="79"/>
      <c r="G98" s="30"/>
      <c r="H98" s="30"/>
      <c r="I98" s="30"/>
      <c r="J98" s="197"/>
      <c r="K98" s="197"/>
      <c r="L98" s="30"/>
    </row>
    <row r="99">
      <c r="A99" s="32"/>
      <c r="B99" s="32"/>
      <c r="C99" s="93" t="s">
        <v>141</v>
      </c>
      <c r="D99" s="78"/>
      <c r="E99" s="186" t="s">
        <v>180</v>
      </c>
      <c r="F99" s="79"/>
      <c r="G99" s="30"/>
      <c r="H99" s="30"/>
      <c r="I99" s="30"/>
      <c r="J99" s="197"/>
      <c r="K99" s="197"/>
      <c r="L99" s="30"/>
    </row>
    <row r="100">
      <c r="A100" s="32"/>
      <c r="B100" s="32"/>
      <c r="C100" s="106" t="s">
        <v>181</v>
      </c>
      <c r="D100" s="78"/>
      <c r="E100" s="78"/>
      <c r="F100" s="89" t="s">
        <v>182</v>
      </c>
      <c r="G100" s="30"/>
      <c r="H100" s="30"/>
      <c r="I100" s="30"/>
      <c r="J100" s="197"/>
      <c r="K100" s="197"/>
      <c r="L100" s="30"/>
    </row>
    <row r="101">
      <c r="A101" s="32"/>
      <c r="B101" s="32"/>
      <c r="C101" s="93" t="s">
        <v>183</v>
      </c>
      <c r="D101" s="78"/>
      <c r="E101" s="78"/>
      <c r="F101" s="79"/>
      <c r="G101" s="30"/>
      <c r="H101" s="30"/>
      <c r="I101" s="30"/>
      <c r="J101" s="197"/>
      <c r="K101" s="197"/>
      <c r="L101" s="30"/>
    </row>
    <row r="102">
      <c r="A102" s="32"/>
      <c r="B102" s="32"/>
      <c r="C102" s="93" t="s">
        <v>184</v>
      </c>
      <c r="D102" s="78"/>
      <c r="E102" s="78"/>
      <c r="F102" s="79"/>
      <c r="G102" s="30"/>
      <c r="H102" s="30"/>
      <c r="I102" s="30"/>
      <c r="J102" s="197"/>
      <c r="K102" s="197"/>
      <c r="L102" s="30"/>
    </row>
    <row r="103">
      <c r="A103" s="32"/>
      <c r="B103" s="32"/>
      <c r="C103" s="106" t="s">
        <v>185</v>
      </c>
      <c r="D103" s="78"/>
      <c r="E103" s="78"/>
      <c r="F103" s="89" t="s">
        <v>186</v>
      </c>
      <c r="G103" s="30"/>
      <c r="H103" s="30"/>
      <c r="I103" s="30"/>
      <c r="J103" s="197"/>
      <c r="K103" s="197"/>
      <c r="L103" s="30"/>
    </row>
    <row r="104">
      <c r="A104" s="32"/>
      <c r="B104" s="32"/>
      <c r="C104" s="87" t="s">
        <v>187</v>
      </c>
      <c r="D104" s="78"/>
      <c r="E104" s="78"/>
      <c r="F104" s="79"/>
      <c r="G104" s="30"/>
      <c r="H104" s="30"/>
      <c r="I104" s="30"/>
      <c r="J104" s="197"/>
      <c r="K104" s="197"/>
      <c r="L104" s="30"/>
    </row>
    <row r="105">
      <c r="A105" s="32"/>
      <c r="B105" s="32"/>
      <c r="C105" s="87" t="s">
        <v>188</v>
      </c>
      <c r="D105" s="78"/>
      <c r="E105" s="78"/>
      <c r="F105" s="183" t="s">
        <v>189</v>
      </c>
      <c r="G105" s="30"/>
      <c r="H105" s="30"/>
      <c r="I105" s="30"/>
      <c r="J105" s="197"/>
      <c r="K105" s="197"/>
      <c r="L105" s="30"/>
    </row>
    <row r="106">
      <c r="A106" s="32"/>
      <c r="B106" s="32"/>
      <c r="C106" s="77" t="s">
        <v>190</v>
      </c>
      <c r="D106" s="78"/>
      <c r="E106" s="78"/>
      <c r="F106" s="79"/>
      <c r="G106" s="29"/>
      <c r="H106" s="29"/>
      <c r="I106" s="29"/>
      <c r="J106" s="196"/>
      <c r="K106" s="196"/>
      <c r="L106" s="29"/>
    </row>
    <row r="107">
      <c r="A107" s="32"/>
      <c r="B107" s="32"/>
      <c r="C107" s="106" t="s">
        <v>191</v>
      </c>
      <c r="D107" s="78"/>
      <c r="E107" s="78"/>
      <c r="F107" s="89" t="s">
        <v>192</v>
      </c>
      <c r="G107" s="30"/>
      <c r="H107" s="30"/>
      <c r="I107" s="30"/>
      <c r="J107" s="197"/>
      <c r="K107" s="197"/>
      <c r="L107" s="30"/>
    </row>
    <row r="108">
      <c r="A108" s="32"/>
      <c r="B108" s="32"/>
      <c r="C108" s="106" t="s">
        <v>193</v>
      </c>
      <c r="D108" s="78"/>
      <c r="E108" s="78"/>
      <c r="F108" s="79"/>
      <c r="G108" s="30"/>
      <c r="H108" s="30"/>
      <c r="I108" s="30"/>
      <c r="J108" s="197"/>
      <c r="K108" s="197"/>
      <c r="L108" s="30"/>
    </row>
    <row r="109">
      <c r="A109" s="32"/>
      <c r="B109" s="32"/>
      <c r="C109" s="93" t="s">
        <v>194</v>
      </c>
      <c r="D109" s="78"/>
      <c r="E109" s="78"/>
      <c r="F109" s="79"/>
      <c r="G109" s="30"/>
      <c r="H109" s="30"/>
      <c r="I109" s="30"/>
      <c r="J109" s="197"/>
      <c r="K109" s="197"/>
      <c r="L109" s="30"/>
    </row>
    <row r="110">
      <c r="A110" s="32"/>
      <c r="B110" s="32"/>
      <c r="C110" s="103" t="s">
        <v>195</v>
      </c>
      <c r="D110" s="78"/>
      <c r="E110" s="78"/>
      <c r="F110" s="89" t="s">
        <v>196</v>
      </c>
      <c r="G110" s="30"/>
      <c r="H110" s="30"/>
      <c r="I110" s="30"/>
      <c r="J110" s="197"/>
      <c r="K110" s="197"/>
      <c r="L110" s="30"/>
    </row>
    <row r="111">
      <c r="A111" s="32"/>
      <c r="B111" s="32"/>
      <c r="C111" s="93" t="s">
        <v>197</v>
      </c>
      <c r="D111" s="78"/>
      <c r="E111" s="78"/>
      <c r="F111" s="89" t="s">
        <v>196</v>
      </c>
      <c r="G111" s="30"/>
      <c r="H111" s="30"/>
      <c r="I111" s="30"/>
      <c r="J111" s="197"/>
      <c r="K111" s="197"/>
      <c r="L111" s="30"/>
    </row>
    <row r="112">
      <c r="A112" s="32"/>
      <c r="B112" s="32"/>
      <c r="C112" s="93" t="s">
        <v>198</v>
      </c>
      <c r="D112" s="78"/>
      <c r="E112" s="78"/>
      <c r="F112" s="89" t="s">
        <v>196</v>
      </c>
      <c r="G112" s="30"/>
      <c r="H112" s="30"/>
      <c r="I112" s="30"/>
      <c r="J112" s="197"/>
      <c r="K112" s="197"/>
      <c r="L112" s="30"/>
    </row>
    <row r="113">
      <c r="A113" s="32"/>
      <c r="B113" s="32"/>
      <c r="C113" s="118" t="s">
        <v>199</v>
      </c>
      <c r="D113" s="78"/>
      <c r="E113" s="78"/>
      <c r="F113" s="183" t="s">
        <v>200</v>
      </c>
      <c r="G113" s="29"/>
      <c r="H113" s="29"/>
      <c r="I113" s="29"/>
      <c r="J113" s="196"/>
      <c r="K113" s="196"/>
      <c r="L113" s="29"/>
    </row>
    <row r="114">
      <c r="A114" s="32"/>
      <c r="B114" s="32"/>
      <c r="C114" s="106" t="s">
        <v>201</v>
      </c>
      <c r="D114" s="78"/>
      <c r="E114" s="78"/>
      <c r="F114" s="89" t="s">
        <v>202</v>
      </c>
      <c r="G114" s="30"/>
      <c r="H114" s="30"/>
      <c r="I114" s="30"/>
      <c r="J114" s="197"/>
      <c r="K114" s="197"/>
      <c r="L114" s="30"/>
    </row>
    <row r="115">
      <c r="A115" s="32"/>
      <c r="B115" s="32"/>
      <c r="C115" s="119" t="s">
        <v>203</v>
      </c>
      <c r="D115" s="78"/>
      <c r="E115" s="78"/>
      <c r="F115" s="89" t="s">
        <v>124</v>
      </c>
      <c r="G115" s="30"/>
      <c r="H115" s="30"/>
      <c r="I115" s="30"/>
      <c r="J115" s="197"/>
      <c r="K115" s="197"/>
      <c r="L115" s="30"/>
    </row>
    <row r="116">
      <c r="A116" s="32"/>
      <c r="B116" s="32"/>
      <c r="C116" s="120" t="s">
        <v>316</v>
      </c>
      <c r="D116" s="78"/>
      <c r="E116" s="78"/>
      <c r="F116" s="89" t="s">
        <v>124</v>
      </c>
      <c r="G116" s="30"/>
      <c r="H116" s="30"/>
      <c r="I116" s="30"/>
      <c r="J116" s="197"/>
      <c r="K116" s="197"/>
      <c r="L116" s="30"/>
    </row>
    <row r="117">
      <c r="A117" s="32"/>
      <c r="B117" s="37"/>
      <c r="C117" s="121" t="s">
        <v>205</v>
      </c>
      <c r="D117" s="122"/>
      <c r="E117" s="186" t="s">
        <v>206</v>
      </c>
      <c r="F117" s="89" t="s">
        <v>207</v>
      </c>
      <c r="G117" s="30"/>
      <c r="H117" s="30"/>
      <c r="I117" s="30"/>
      <c r="J117" s="197"/>
      <c r="K117" s="197"/>
      <c r="L117" s="30"/>
    </row>
    <row r="118">
      <c r="A118" s="32"/>
      <c r="B118" s="102" t="s">
        <v>208</v>
      </c>
      <c r="C118" s="106" t="s">
        <v>209</v>
      </c>
      <c r="D118" s="78"/>
      <c r="E118" s="78"/>
      <c r="F118" s="79"/>
      <c r="G118" s="30"/>
      <c r="H118" s="30" t="s">
        <v>24</v>
      </c>
      <c r="I118" s="30"/>
      <c r="J118" s="197"/>
      <c r="K118" s="197"/>
      <c r="L118" s="30"/>
    </row>
    <row r="119">
      <c r="A119" s="32"/>
      <c r="B119" s="32"/>
      <c r="C119" s="123" t="s">
        <v>210</v>
      </c>
      <c r="D119" s="78"/>
      <c r="E119" s="78"/>
      <c r="F119" s="89" t="s">
        <v>211</v>
      </c>
      <c r="G119" s="30"/>
      <c r="H119" s="30"/>
      <c r="I119" s="30"/>
      <c r="J119" s="197"/>
      <c r="K119" s="197"/>
      <c r="L119" s="30"/>
    </row>
    <row r="120">
      <c r="A120" s="32"/>
      <c r="B120" s="32"/>
      <c r="C120" s="124" t="s">
        <v>212</v>
      </c>
      <c r="D120" s="78"/>
      <c r="E120" s="78"/>
      <c r="F120" s="79"/>
      <c r="G120" s="30"/>
      <c r="H120" s="29" t="s">
        <v>335</v>
      </c>
      <c r="I120" s="30"/>
      <c r="J120" s="197"/>
      <c r="K120" s="197"/>
      <c r="L120" s="30"/>
    </row>
    <row r="121">
      <c r="A121" s="32"/>
      <c r="B121" s="32"/>
      <c r="C121" s="125" t="s">
        <v>213</v>
      </c>
      <c r="D121" s="78"/>
      <c r="E121" s="78"/>
      <c r="F121" s="79"/>
      <c r="G121" s="30"/>
      <c r="H121" s="30" t="s">
        <v>24</v>
      </c>
      <c r="I121" s="30"/>
      <c r="J121" s="197"/>
      <c r="K121" s="197"/>
      <c r="L121" s="30"/>
    </row>
    <row r="122">
      <c r="A122" s="32"/>
      <c r="B122" s="32"/>
      <c r="C122" s="124" t="s">
        <v>214</v>
      </c>
      <c r="D122" s="78"/>
      <c r="E122" s="78"/>
      <c r="F122" s="79"/>
      <c r="G122" s="30"/>
      <c r="H122" s="30"/>
      <c r="I122" s="30"/>
      <c r="J122" s="197"/>
      <c r="K122" s="197"/>
      <c r="L122" s="30"/>
    </row>
    <row r="123">
      <c r="A123" s="32"/>
      <c r="B123" s="37"/>
      <c r="C123" s="126" t="s">
        <v>215</v>
      </c>
      <c r="D123" s="78"/>
      <c r="E123" s="78"/>
      <c r="F123" s="188" t="s">
        <v>317</v>
      </c>
      <c r="G123" s="30"/>
      <c r="H123" s="30"/>
      <c r="I123" s="30"/>
      <c r="J123" s="197"/>
      <c r="K123" s="197"/>
      <c r="L123" s="30"/>
    </row>
    <row r="124">
      <c r="A124" s="32"/>
      <c r="B124" s="115" t="s">
        <v>217</v>
      </c>
      <c r="C124" s="124" t="s">
        <v>218</v>
      </c>
      <c r="D124" s="78"/>
      <c r="E124" s="189" t="s">
        <v>219</v>
      </c>
      <c r="F124" s="79"/>
      <c r="G124" s="30"/>
      <c r="H124" s="30"/>
      <c r="I124" s="30"/>
      <c r="J124" s="197"/>
      <c r="K124" s="197"/>
      <c r="L124" s="30"/>
    </row>
    <row r="125">
      <c r="A125" s="32"/>
      <c r="B125" s="32"/>
      <c r="C125" s="124" t="s">
        <v>220</v>
      </c>
      <c r="D125" s="78"/>
      <c r="E125" s="78"/>
      <c r="F125" s="79"/>
      <c r="G125" s="30"/>
      <c r="H125" s="30"/>
      <c r="I125" s="30"/>
      <c r="J125" s="197"/>
      <c r="K125" s="197"/>
      <c r="L125" s="30"/>
    </row>
    <row r="126">
      <c r="A126" s="32"/>
      <c r="B126" s="32"/>
      <c r="C126" s="129" t="s">
        <v>221</v>
      </c>
      <c r="D126" s="78"/>
      <c r="E126" s="78"/>
      <c r="F126" s="89" t="s">
        <v>222</v>
      </c>
      <c r="G126" s="30"/>
      <c r="H126" s="30"/>
      <c r="I126" s="30"/>
      <c r="J126" s="197"/>
      <c r="K126" s="197"/>
      <c r="L126" s="30"/>
    </row>
    <row r="127">
      <c r="A127" s="32"/>
      <c r="B127" s="37"/>
      <c r="C127" s="124" t="s">
        <v>223</v>
      </c>
      <c r="D127" s="78"/>
      <c r="E127" s="78"/>
      <c r="F127" s="89" t="s">
        <v>224</v>
      </c>
      <c r="G127" s="30"/>
      <c r="H127" s="30"/>
      <c r="I127" s="30"/>
      <c r="J127" s="197"/>
      <c r="K127" s="197"/>
      <c r="L127" s="30"/>
    </row>
    <row r="128">
      <c r="A128" s="32"/>
      <c r="B128" s="115" t="s">
        <v>225</v>
      </c>
      <c r="C128" s="130" t="s">
        <v>226</v>
      </c>
      <c r="D128" s="78"/>
      <c r="E128" s="78"/>
      <c r="F128" s="190" t="s">
        <v>227</v>
      </c>
      <c r="G128" s="30"/>
      <c r="H128" s="30"/>
      <c r="I128" s="30"/>
      <c r="J128" s="197"/>
      <c r="K128" s="197"/>
      <c r="L128" s="30"/>
    </row>
    <row r="129">
      <c r="A129" s="32"/>
      <c r="B129" s="32"/>
      <c r="C129" s="132" t="s">
        <v>318</v>
      </c>
      <c r="D129" s="78"/>
      <c r="E129" s="78"/>
      <c r="F129" s="133"/>
      <c r="G129" s="30"/>
      <c r="H129" s="30"/>
      <c r="I129" s="30"/>
      <c r="J129" s="197"/>
      <c r="K129" s="197"/>
      <c r="L129" s="30"/>
    </row>
    <row r="130">
      <c r="A130" s="32"/>
      <c r="B130" s="32"/>
      <c r="C130" s="132" t="s">
        <v>229</v>
      </c>
      <c r="D130" s="78"/>
      <c r="E130" s="78"/>
      <c r="F130" s="134" t="s">
        <v>230</v>
      </c>
      <c r="G130" s="30"/>
      <c r="H130" s="30"/>
      <c r="I130" s="30"/>
      <c r="J130" s="197"/>
      <c r="K130" s="197"/>
      <c r="L130" s="30"/>
    </row>
    <row r="131">
      <c r="A131" s="32"/>
      <c r="B131" s="32"/>
      <c r="C131" s="132" t="s">
        <v>231</v>
      </c>
      <c r="D131" s="78"/>
      <c r="E131" s="78"/>
      <c r="F131" s="133"/>
      <c r="G131" s="30"/>
      <c r="H131" s="30"/>
      <c r="I131" s="30"/>
      <c r="J131" s="197"/>
      <c r="K131" s="197"/>
      <c r="L131" s="30"/>
    </row>
    <row r="132">
      <c r="A132" s="32"/>
      <c r="B132" s="32"/>
      <c r="C132" s="132" t="s">
        <v>232</v>
      </c>
      <c r="D132" s="78"/>
      <c r="E132" s="78"/>
      <c r="F132" s="135"/>
      <c r="G132" s="30"/>
      <c r="H132" s="30"/>
      <c r="I132" s="30"/>
      <c r="J132" s="197"/>
      <c r="K132" s="197"/>
      <c r="L132" s="30"/>
    </row>
    <row r="133">
      <c r="A133" s="32"/>
      <c r="B133" s="32"/>
      <c r="C133" s="132" t="s">
        <v>233</v>
      </c>
      <c r="D133" s="78"/>
      <c r="E133" s="78"/>
      <c r="F133" s="136" t="s">
        <v>234</v>
      </c>
      <c r="G133" s="30"/>
      <c r="H133" s="30"/>
      <c r="I133" s="30"/>
      <c r="J133" s="197"/>
      <c r="K133" s="197"/>
      <c r="L133" s="30"/>
    </row>
    <row r="134">
      <c r="A134" s="32"/>
      <c r="B134" s="32"/>
      <c r="C134" s="132" t="s">
        <v>235</v>
      </c>
      <c r="D134" s="78"/>
      <c r="E134" s="78"/>
      <c r="F134" s="136" t="s">
        <v>236</v>
      </c>
      <c r="G134" s="30"/>
      <c r="H134" s="30"/>
      <c r="I134" s="30"/>
      <c r="J134" s="197"/>
      <c r="K134" s="197"/>
      <c r="L134" s="30"/>
    </row>
    <row r="135">
      <c r="A135" s="32"/>
      <c r="B135" s="32"/>
      <c r="C135" s="132" t="s">
        <v>237</v>
      </c>
      <c r="D135" s="78"/>
      <c r="E135" s="78"/>
      <c r="F135" s="133"/>
      <c r="G135" s="30"/>
      <c r="H135" s="30"/>
      <c r="I135" s="30"/>
      <c r="J135" s="197"/>
      <c r="K135" s="197"/>
      <c r="L135" s="30"/>
    </row>
    <row r="136">
      <c r="A136" s="32"/>
      <c r="B136" s="32"/>
      <c r="C136" s="132" t="s">
        <v>238</v>
      </c>
      <c r="D136" s="78"/>
      <c r="E136" s="78"/>
      <c r="F136" s="89"/>
      <c r="G136" s="30"/>
      <c r="H136" s="30"/>
      <c r="I136" s="30"/>
      <c r="J136" s="197"/>
      <c r="K136" s="197"/>
      <c r="L136" s="30"/>
    </row>
    <row r="137">
      <c r="A137" s="32"/>
      <c r="B137" s="32"/>
      <c r="C137" s="132" t="s">
        <v>239</v>
      </c>
      <c r="D137" s="78"/>
      <c r="E137" s="78"/>
      <c r="F137" s="89"/>
      <c r="G137" s="30"/>
      <c r="H137" s="30"/>
      <c r="I137" s="30"/>
      <c r="J137" s="197"/>
      <c r="K137" s="197"/>
      <c r="L137" s="30"/>
    </row>
    <row r="138">
      <c r="A138" s="32"/>
      <c r="B138" s="32"/>
      <c r="C138" s="132" t="s">
        <v>240</v>
      </c>
      <c r="D138" s="78"/>
      <c r="E138" s="78"/>
      <c r="F138" s="89"/>
      <c r="G138" s="30"/>
      <c r="H138" s="30"/>
      <c r="I138" s="30"/>
      <c r="J138" s="197"/>
      <c r="K138" s="197"/>
      <c r="L138" s="30"/>
    </row>
    <row r="139">
      <c r="A139" s="32"/>
      <c r="B139" s="32"/>
      <c r="C139" s="132" t="s">
        <v>241</v>
      </c>
      <c r="D139" s="78"/>
      <c r="E139" s="78"/>
      <c r="F139" s="89"/>
      <c r="G139" s="30"/>
      <c r="H139" s="30"/>
      <c r="I139" s="30"/>
      <c r="J139" s="197"/>
      <c r="K139" s="197"/>
      <c r="L139" s="30"/>
    </row>
    <row r="140">
      <c r="A140" s="32"/>
      <c r="B140" s="32"/>
      <c r="C140" s="132" t="s">
        <v>242</v>
      </c>
      <c r="D140" s="78"/>
      <c r="E140" s="78"/>
      <c r="F140" s="89"/>
      <c r="G140" s="30"/>
      <c r="H140" s="30"/>
      <c r="I140" s="30"/>
      <c r="J140" s="197"/>
      <c r="K140" s="197"/>
      <c r="L140" s="30"/>
    </row>
    <row r="141">
      <c r="A141" s="32"/>
      <c r="B141" s="37"/>
      <c r="C141" s="132" t="s">
        <v>243</v>
      </c>
      <c r="D141" s="78"/>
      <c r="E141" s="78"/>
      <c r="F141" s="89"/>
      <c r="G141" s="30"/>
      <c r="H141" s="30"/>
      <c r="I141" s="30"/>
      <c r="J141" s="197"/>
      <c r="K141" s="197"/>
      <c r="L141" s="30"/>
    </row>
    <row r="142">
      <c r="A142" s="32"/>
      <c r="B142" s="102" t="s">
        <v>244</v>
      </c>
      <c r="C142" s="106" t="s">
        <v>245</v>
      </c>
      <c r="D142" s="78"/>
      <c r="E142" s="137"/>
      <c r="F142" s="191" t="s">
        <v>319</v>
      </c>
      <c r="G142" s="30"/>
      <c r="H142" s="30"/>
      <c r="I142" s="30"/>
      <c r="J142" s="197"/>
      <c r="K142" s="197"/>
      <c r="L142" s="30"/>
    </row>
    <row r="143">
      <c r="A143" s="32"/>
      <c r="B143" s="32"/>
      <c r="C143" s="123" t="s">
        <v>247</v>
      </c>
      <c r="D143" s="78"/>
      <c r="E143" s="186" t="s">
        <v>248</v>
      </c>
      <c r="F143" s="89" t="s">
        <v>207</v>
      </c>
      <c r="G143" s="30"/>
      <c r="H143" s="30"/>
      <c r="I143" s="30"/>
      <c r="J143" s="197"/>
      <c r="K143" s="197"/>
      <c r="L143" s="30"/>
    </row>
    <row r="144">
      <c r="A144" s="32"/>
      <c r="B144" s="32"/>
      <c r="C144" s="123" t="s">
        <v>249</v>
      </c>
      <c r="D144" s="78"/>
      <c r="E144" s="78"/>
      <c r="F144" s="89" t="s">
        <v>250</v>
      </c>
      <c r="G144" s="30"/>
      <c r="H144" s="30"/>
      <c r="I144" s="30"/>
      <c r="J144" s="197"/>
      <c r="K144" s="197"/>
      <c r="L144" s="30"/>
    </row>
    <row r="145">
      <c r="A145" s="32"/>
      <c r="B145" s="32"/>
      <c r="C145" s="103" t="s">
        <v>251</v>
      </c>
      <c r="D145" s="78"/>
      <c r="E145" s="78"/>
      <c r="F145" s="89" t="s">
        <v>252</v>
      </c>
      <c r="G145" s="30"/>
      <c r="H145" s="30" t="s">
        <v>24</v>
      </c>
      <c r="I145" s="30"/>
      <c r="J145" s="197"/>
      <c r="K145" s="197"/>
      <c r="L145" s="30"/>
    </row>
    <row r="146">
      <c r="A146" s="32"/>
      <c r="B146" s="32"/>
      <c r="C146" s="106" t="s">
        <v>253</v>
      </c>
      <c r="D146" s="78"/>
      <c r="E146" s="78"/>
      <c r="F146" s="89" t="s">
        <v>254</v>
      </c>
      <c r="G146" s="30"/>
      <c r="H146" s="30" t="s">
        <v>24</v>
      </c>
      <c r="I146" s="30"/>
      <c r="J146" s="197"/>
      <c r="K146" s="197"/>
      <c r="L146" s="30"/>
    </row>
    <row r="147">
      <c r="A147" s="32"/>
      <c r="B147" s="32"/>
      <c r="C147" s="106" t="s">
        <v>255</v>
      </c>
      <c r="D147" s="78"/>
      <c r="E147" s="78"/>
      <c r="F147" s="89" t="s">
        <v>256</v>
      </c>
      <c r="G147" s="30"/>
      <c r="H147" s="30" t="s">
        <v>24</v>
      </c>
      <c r="I147" s="30"/>
      <c r="J147" s="197"/>
      <c r="K147" s="197"/>
      <c r="L147" s="30"/>
    </row>
    <row r="148">
      <c r="A148" s="32"/>
      <c r="B148" s="32"/>
      <c r="C148" s="93" t="s">
        <v>257</v>
      </c>
      <c r="D148" s="78"/>
      <c r="E148" s="78"/>
      <c r="F148" s="79"/>
      <c r="G148" s="30"/>
      <c r="H148" s="30"/>
      <c r="I148" s="30"/>
      <c r="J148" s="197"/>
      <c r="K148" s="197"/>
      <c r="L148" s="30"/>
    </row>
    <row r="149">
      <c r="A149" s="32"/>
      <c r="B149" s="32"/>
      <c r="C149" s="93" t="s">
        <v>258</v>
      </c>
      <c r="D149" s="78"/>
      <c r="E149" s="78"/>
      <c r="F149" s="89" t="s">
        <v>259</v>
      </c>
      <c r="G149" s="30"/>
      <c r="H149" s="30" t="s">
        <v>24</v>
      </c>
      <c r="I149" s="30"/>
      <c r="J149" s="197"/>
      <c r="K149" s="197"/>
      <c r="L149" s="30"/>
    </row>
    <row r="150">
      <c r="A150" s="32"/>
      <c r="B150" s="32"/>
      <c r="C150" s="139" t="s">
        <v>260</v>
      </c>
      <c r="D150" s="78"/>
      <c r="E150" s="78"/>
      <c r="F150" s="79"/>
      <c r="G150" s="30"/>
      <c r="H150" s="30"/>
      <c r="I150" s="30"/>
      <c r="J150" s="197"/>
      <c r="K150" s="197"/>
      <c r="L150" s="30"/>
    </row>
    <row r="151">
      <c r="A151" s="32"/>
      <c r="B151" s="32"/>
      <c r="C151" s="139" t="s">
        <v>261</v>
      </c>
      <c r="D151" s="78"/>
      <c r="E151" s="78"/>
      <c r="F151" s="140" t="s">
        <v>262</v>
      </c>
      <c r="G151" s="30"/>
      <c r="H151" s="30"/>
      <c r="I151" s="30"/>
      <c r="J151" s="197"/>
      <c r="K151" s="197"/>
      <c r="L151" s="30"/>
    </row>
    <row r="152">
      <c r="A152" s="32"/>
      <c r="B152" s="37"/>
      <c r="C152" s="139" t="s">
        <v>263</v>
      </c>
      <c r="D152" s="78"/>
      <c r="E152" s="78"/>
      <c r="F152" s="79"/>
      <c r="G152" s="30"/>
      <c r="H152" s="30"/>
      <c r="I152" s="30"/>
      <c r="J152" s="197"/>
      <c r="K152" s="197"/>
      <c r="L152" s="30"/>
    </row>
    <row r="153">
      <c r="A153" s="32"/>
      <c r="B153" s="141" t="s">
        <v>264</v>
      </c>
      <c r="C153" s="142" t="s">
        <v>265</v>
      </c>
      <c r="D153" s="122"/>
      <c r="E153" s="186" t="s">
        <v>266</v>
      </c>
      <c r="F153" s="140"/>
      <c r="G153" s="30"/>
      <c r="H153" s="30"/>
      <c r="I153" s="30"/>
      <c r="J153" s="197"/>
      <c r="K153" s="197"/>
      <c r="L153" s="30"/>
    </row>
    <row r="154">
      <c r="A154" s="32"/>
      <c r="B154" s="32"/>
      <c r="C154" s="143" t="s">
        <v>267</v>
      </c>
      <c r="D154" s="189" t="s">
        <v>336</v>
      </c>
      <c r="E154" s="122"/>
      <c r="F154" s="144"/>
      <c r="G154" s="30"/>
      <c r="H154" s="30"/>
      <c r="I154" s="30"/>
      <c r="J154" s="197"/>
      <c r="K154" s="197"/>
      <c r="L154" s="30"/>
    </row>
    <row r="155">
      <c r="A155" s="32"/>
      <c r="B155" s="32"/>
      <c r="C155" s="143" t="s">
        <v>270</v>
      </c>
      <c r="D155" s="78"/>
      <c r="E155" s="192" t="s">
        <v>271</v>
      </c>
      <c r="F155" s="144"/>
      <c r="G155" s="30"/>
      <c r="H155" s="30"/>
      <c r="I155" s="30"/>
      <c r="J155" s="197"/>
      <c r="K155" s="197"/>
      <c r="L155" s="30"/>
    </row>
    <row r="156">
      <c r="A156" s="32"/>
      <c r="B156" s="32"/>
      <c r="C156" s="146" t="s">
        <v>272</v>
      </c>
      <c r="D156" s="78"/>
      <c r="E156" s="122"/>
      <c r="F156" s="193" t="s">
        <v>273</v>
      </c>
      <c r="G156" s="30"/>
      <c r="H156" s="30" t="s">
        <v>24</v>
      </c>
      <c r="I156" s="30"/>
      <c r="J156" s="197"/>
      <c r="K156" s="197"/>
      <c r="L156" s="30"/>
    </row>
    <row r="157">
      <c r="A157" s="37"/>
      <c r="B157" s="37"/>
      <c r="C157" s="148" t="s">
        <v>274</v>
      </c>
      <c r="D157" s="78"/>
      <c r="E157" s="122"/>
      <c r="F157" s="144" t="s">
        <v>275</v>
      </c>
      <c r="G157" s="30"/>
      <c r="H157" s="30"/>
      <c r="I157" s="30"/>
      <c r="J157" s="197"/>
      <c r="K157" s="197"/>
      <c r="L157" s="30"/>
    </row>
    <row r="158">
      <c r="A158" s="150"/>
      <c r="B158" s="150">
        <v>158.0</v>
      </c>
      <c r="C158" s="150" t="s">
        <v>337</v>
      </c>
      <c r="D158" s="150"/>
      <c r="E158" s="150"/>
      <c r="F158" s="151" t="s">
        <v>276</v>
      </c>
      <c r="G158" s="21">
        <v>0.0</v>
      </c>
      <c r="H158" s="21">
        <v>57.0</v>
      </c>
      <c r="I158" s="21">
        <v>1.0</v>
      </c>
      <c r="J158" s="200">
        <v>0.0</v>
      </c>
      <c r="K158" s="200">
        <v>0.0</v>
      </c>
      <c r="L158" s="21">
        <v>10.0</v>
      </c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>
      <c r="A163" s="79" t="s">
        <v>338</v>
      </c>
      <c r="B163" s="152"/>
      <c r="C163" s="152"/>
      <c r="D163" s="153"/>
      <c r="E163" s="10"/>
      <c r="F163" s="10"/>
      <c r="G163" s="10"/>
      <c r="H163" s="10"/>
      <c r="I163" s="10"/>
      <c r="J163" s="10"/>
      <c r="K163" s="10"/>
      <c r="L163" s="10"/>
    </row>
    <row r="164">
      <c r="A164" s="154"/>
      <c r="B164" s="155" t="s">
        <v>5</v>
      </c>
      <c r="C164" s="155" t="s">
        <v>277</v>
      </c>
      <c r="D164" s="155" t="s">
        <v>7</v>
      </c>
      <c r="E164" s="10"/>
      <c r="F164" s="10"/>
      <c r="G164" s="10"/>
      <c r="H164" s="10"/>
      <c r="I164" s="10"/>
      <c r="J164" s="10"/>
      <c r="K164" s="10"/>
      <c r="L164" s="10"/>
    </row>
    <row r="165">
      <c r="A165" s="155" t="s">
        <v>278</v>
      </c>
      <c r="B165" s="154">
        <v>0.0</v>
      </c>
      <c r="C165" s="154">
        <v>44.0</v>
      </c>
      <c r="D165" s="154">
        <v>0.0</v>
      </c>
      <c r="E165" s="10"/>
      <c r="F165" s="10"/>
      <c r="G165" s="10"/>
      <c r="H165" s="10"/>
      <c r="I165" s="10"/>
      <c r="J165" s="10"/>
      <c r="K165" s="10"/>
      <c r="L165" s="10"/>
    </row>
    <row r="166">
      <c r="A166" s="155" t="s">
        <v>279</v>
      </c>
      <c r="B166" s="154">
        <v>0.0</v>
      </c>
      <c r="C166" s="154">
        <v>0.0</v>
      </c>
      <c r="D166" s="154">
        <v>0.0</v>
      </c>
      <c r="E166" s="10"/>
      <c r="F166" s="10"/>
      <c r="G166" s="10"/>
      <c r="H166" s="10"/>
      <c r="I166" s="10"/>
      <c r="J166" s="10"/>
      <c r="K166" s="10"/>
      <c r="L166" s="10"/>
    </row>
    <row r="167">
      <c r="A167" s="155" t="s">
        <v>280</v>
      </c>
      <c r="B167" s="154">
        <v>0.0</v>
      </c>
      <c r="C167" s="154">
        <v>2.0</v>
      </c>
      <c r="D167" s="154">
        <v>0.0</v>
      </c>
      <c r="E167" s="10"/>
      <c r="F167" s="10"/>
      <c r="G167" s="10"/>
      <c r="H167" s="10"/>
      <c r="I167" s="10"/>
      <c r="J167" s="10"/>
      <c r="K167" s="10"/>
      <c r="L167" s="10"/>
    </row>
    <row r="168">
      <c r="A168" s="155" t="s">
        <v>281</v>
      </c>
      <c r="B168" s="154">
        <v>0.0</v>
      </c>
      <c r="C168" s="154">
        <v>62.0</v>
      </c>
      <c r="D168" s="154">
        <v>0.0</v>
      </c>
      <c r="E168" s="10"/>
      <c r="F168" s="10"/>
      <c r="G168" s="10"/>
      <c r="H168" s="10"/>
      <c r="I168" s="10"/>
      <c r="J168" s="10"/>
      <c r="K168" s="10"/>
      <c r="L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>
      <c r="A171" s="156" t="s">
        <v>282</v>
      </c>
      <c r="F171" s="10"/>
      <c r="G171" s="10"/>
      <c r="H171" s="10"/>
      <c r="I171" s="10"/>
      <c r="J171" s="10"/>
      <c r="K171" s="10"/>
      <c r="L171" s="10"/>
    </row>
    <row r="172">
      <c r="A172" s="157" t="s">
        <v>8</v>
      </c>
      <c r="B172" s="158"/>
      <c r="C172" s="158"/>
      <c r="D172" s="158"/>
      <c r="E172" s="157" t="s">
        <v>283</v>
      </c>
      <c r="F172" s="10"/>
      <c r="G172" s="10"/>
      <c r="H172" s="10"/>
      <c r="I172" s="10"/>
      <c r="J172" s="10"/>
      <c r="K172" s="10"/>
      <c r="L172" s="10"/>
    </row>
    <row r="173">
      <c r="A173" s="159" t="s">
        <v>284</v>
      </c>
      <c r="B173" s="158"/>
      <c r="C173" s="158"/>
      <c r="D173" s="158"/>
      <c r="E173" s="160" t="s">
        <v>24</v>
      </c>
      <c r="F173" s="10"/>
      <c r="G173" s="10"/>
      <c r="H173" s="10"/>
      <c r="I173" s="10"/>
      <c r="J173" s="10"/>
      <c r="K173" s="10"/>
      <c r="L173" s="10"/>
    </row>
    <row r="174">
      <c r="A174" s="161" t="s">
        <v>285</v>
      </c>
      <c r="B174" s="158"/>
      <c r="C174" s="158"/>
      <c r="D174" s="158"/>
      <c r="E174" s="162" t="s">
        <v>12</v>
      </c>
      <c r="F174" s="10"/>
      <c r="G174" s="10"/>
      <c r="H174" s="10"/>
      <c r="I174" s="10"/>
      <c r="J174" s="10"/>
      <c r="K174" s="10"/>
      <c r="L174" s="10"/>
    </row>
    <row r="175">
      <c r="A175" s="163" t="s">
        <v>286</v>
      </c>
      <c r="B175" s="158"/>
      <c r="C175" s="158"/>
      <c r="D175" s="158"/>
      <c r="E175" s="164" t="s">
        <v>287</v>
      </c>
      <c r="F175" s="10"/>
      <c r="G175" s="10"/>
      <c r="H175" s="10"/>
      <c r="I175" s="10"/>
      <c r="J175" s="10"/>
      <c r="K175" s="10"/>
      <c r="L175" s="10"/>
    </row>
    <row r="176">
      <c r="A176" s="165" t="s">
        <v>288</v>
      </c>
      <c r="B176" s="158"/>
      <c r="C176" s="158"/>
      <c r="D176" s="158"/>
      <c r="E176" s="166" t="s">
        <v>10</v>
      </c>
      <c r="F176" s="10"/>
      <c r="G176" s="10"/>
      <c r="H176" s="10"/>
      <c r="I176" s="10"/>
      <c r="J176" s="10"/>
      <c r="K176" s="10"/>
      <c r="L176" s="10"/>
    </row>
    <row r="177">
      <c r="A177" s="167" t="s">
        <v>289</v>
      </c>
      <c r="B177" s="158"/>
      <c r="C177" s="158"/>
      <c r="D177" s="158"/>
      <c r="E177" s="168" t="s">
        <v>290</v>
      </c>
      <c r="F177" s="10"/>
      <c r="G177" s="10"/>
      <c r="H177" s="10"/>
      <c r="I177" s="10"/>
      <c r="J177" s="10"/>
      <c r="K177" s="10"/>
      <c r="L177" s="10"/>
    </row>
    <row r="178">
      <c r="A178" s="169" t="s">
        <v>291</v>
      </c>
      <c r="B178" s="158"/>
      <c r="C178" s="158"/>
      <c r="D178" s="158"/>
      <c r="E178" s="170" t="s">
        <v>292</v>
      </c>
      <c r="F178" s="10"/>
      <c r="G178" s="10"/>
      <c r="H178" s="10"/>
      <c r="I178" s="10"/>
      <c r="J178" s="10"/>
      <c r="K178" s="10"/>
      <c r="L178" s="10"/>
    </row>
    <row r="179">
      <c r="A179" s="171" t="s">
        <v>293</v>
      </c>
      <c r="B179" s="158"/>
      <c r="C179" s="158"/>
      <c r="D179" s="158"/>
      <c r="E179" s="172" t="s">
        <v>294</v>
      </c>
      <c r="F179" s="10"/>
      <c r="G179" s="10"/>
      <c r="H179" s="10"/>
      <c r="I179" s="10"/>
      <c r="J179" s="10"/>
      <c r="K179" s="10"/>
      <c r="L179" s="10"/>
    </row>
    <row r="180">
      <c r="A180" s="173" t="s">
        <v>295</v>
      </c>
      <c r="B180" s="158"/>
      <c r="C180" s="158"/>
      <c r="D180" s="158"/>
      <c r="E180" s="174" t="s">
        <v>11</v>
      </c>
      <c r="F180" s="10"/>
      <c r="G180" s="10"/>
      <c r="H180" s="10"/>
      <c r="I180" s="10"/>
      <c r="J180" s="10"/>
      <c r="K180" s="10"/>
      <c r="L180" s="10"/>
    </row>
    <row r="181">
      <c r="A181" s="175" t="s">
        <v>296</v>
      </c>
      <c r="B181" s="158"/>
      <c r="C181" s="158"/>
      <c r="D181" s="158"/>
      <c r="E181" s="176" t="s">
        <v>12</v>
      </c>
      <c r="F181" s="10"/>
      <c r="G181" s="10"/>
      <c r="H181" s="10"/>
      <c r="I181" s="10"/>
      <c r="J181" s="10"/>
      <c r="K181" s="10"/>
      <c r="L181" s="10"/>
    </row>
    <row r="182">
      <c r="A182" s="177" t="s">
        <v>297</v>
      </c>
      <c r="B182" s="158"/>
      <c r="C182" s="158"/>
      <c r="D182" s="158"/>
      <c r="E182" s="158"/>
      <c r="F182" s="10"/>
      <c r="G182" s="10"/>
      <c r="H182" s="10"/>
      <c r="I182" s="10"/>
      <c r="J182" s="10"/>
      <c r="K182" s="10"/>
      <c r="L182" s="10"/>
    </row>
    <row r="183">
      <c r="A183" s="178" t="s">
        <v>298</v>
      </c>
      <c r="B183" s="158"/>
      <c r="C183" s="158"/>
      <c r="D183" s="158"/>
      <c r="E183" s="158"/>
      <c r="F183" s="10"/>
      <c r="G183" s="10"/>
      <c r="H183" s="10"/>
      <c r="I183" s="10"/>
      <c r="J183" s="10"/>
      <c r="K183" s="10"/>
      <c r="L183" s="10"/>
    </row>
    <row r="184">
      <c r="A184" s="179" t="s">
        <v>299</v>
      </c>
      <c r="B184" s="158"/>
      <c r="C184" s="158"/>
      <c r="D184" s="158"/>
      <c r="E184" s="158"/>
      <c r="F184" s="10"/>
      <c r="G184" s="10"/>
      <c r="H184" s="10"/>
      <c r="I184" s="10"/>
      <c r="J184" s="10"/>
      <c r="K184" s="10"/>
      <c r="L184" s="10"/>
    </row>
    <row r="185">
      <c r="A185" s="180" t="s">
        <v>300</v>
      </c>
      <c r="B185" s="158"/>
      <c r="C185" s="158"/>
      <c r="D185" s="158"/>
      <c r="E185" s="158"/>
      <c r="F185" s="10"/>
      <c r="G185" s="10"/>
      <c r="H185" s="10"/>
      <c r="I185" s="10"/>
      <c r="J185" s="10"/>
      <c r="K185" s="10"/>
      <c r="L185" s="10"/>
    </row>
    <row r="186">
      <c r="A186" s="181" t="s">
        <v>301</v>
      </c>
      <c r="B186" s="158"/>
      <c r="C186" s="158"/>
      <c r="D186" s="158"/>
      <c r="E186" s="158"/>
      <c r="F186" s="10"/>
      <c r="G186" s="10"/>
      <c r="H186" s="10"/>
      <c r="I186" s="10"/>
      <c r="J186" s="10"/>
      <c r="K186" s="10"/>
      <c r="L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</sheetData>
  <mergeCells count="30">
    <mergeCell ref="B19:B21"/>
    <mergeCell ref="B22:B25"/>
    <mergeCell ref="B26:B27"/>
    <mergeCell ref="B28:B33"/>
    <mergeCell ref="B34:B38"/>
    <mergeCell ref="B39:B40"/>
    <mergeCell ref="B41:B44"/>
    <mergeCell ref="B45:B48"/>
    <mergeCell ref="G1:I1"/>
    <mergeCell ref="J1:L1"/>
    <mergeCell ref="A6:A8"/>
    <mergeCell ref="B6:B8"/>
    <mergeCell ref="A9:A61"/>
    <mergeCell ref="B9:B13"/>
    <mergeCell ref="B14:B18"/>
    <mergeCell ref="B58:B61"/>
    <mergeCell ref="B118:B123"/>
    <mergeCell ref="B124:B127"/>
    <mergeCell ref="B128:B141"/>
    <mergeCell ref="B142:B152"/>
    <mergeCell ref="A163:D163"/>
    <mergeCell ref="A171:E171"/>
    <mergeCell ref="B49:B55"/>
    <mergeCell ref="B56:B57"/>
    <mergeCell ref="A62:A157"/>
    <mergeCell ref="B62:B78"/>
    <mergeCell ref="B79:B93"/>
    <mergeCell ref="B94:B97"/>
    <mergeCell ref="B98:B117"/>
    <mergeCell ref="B153:B157"/>
  </mergeCells>
  <conditionalFormatting sqref="H6:H157 K6:K157 I43:J44 L43:L44 I46:J157 L46:L157">
    <cfRule type="cellIs" dxfId="16" priority="1" operator="equal">
      <formula>"OK"</formula>
    </cfRule>
  </conditionalFormatting>
  <conditionalFormatting sqref="B3:D3 G4:L4">
    <cfRule type="cellIs" dxfId="14" priority="2" stopIfTrue="1" operator="equal">
      <formula>"Anu"</formula>
    </cfRule>
  </conditionalFormatting>
  <conditionalFormatting sqref="B3:D3 G4:L4">
    <cfRule type="cellIs" dxfId="0" priority="3" stopIfTrue="1" operator="equal">
      <formula>"Amrita"</formula>
    </cfRule>
  </conditionalFormatting>
  <conditionalFormatting sqref="B3:D3 G4:L4">
    <cfRule type="cellIs" dxfId="1" priority="4" stopIfTrue="1" operator="equal">
      <formula>"Soumya"</formula>
    </cfRule>
  </conditionalFormatting>
  <conditionalFormatting sqref="B3:D3 G4:L4">
    <cfRule type="cellIs" dxfId="2" priority="5" stopIfTrue="1" operator="equal">
      <formula>"Hannah"</formula>
    </cfRule>
  </conditionalFormatting>
  <conditionalFormatting sqref="B3:D3 G4:L4">
    <cfRule type="cellIs" dxfId="3" priority="6" stopIfTrue="1" operator="equal">
      <formula>"Naga Lakshmi"</formula>
    </cfRule>
  </conditionalFormatting>
  <conditionalFormatting sqref="B3:D3 G4:L4">
    <cfRule type="cellIs" dxfId="4" priority="7" stopIfTrue="1" operator="equal">
      <formula>"Aditya"</formula>
    </cfRule>
  </conditionalFormatting>
  <conditionalFormatting sqref="B3:D3 G4:L4">
    <cfRule type="cellIs" dxfId="15" priority="8" stopIfTrue="1" operator="equal">
      <formula>"Pankhuri"</formula>
    </cfRule>
  </conditionalFormatting>
  <conditionalFormatting sqref="B3:D3 G4:L4">
    <cfRule type="cellIs" dxfId="5" priority="9" stopIfTrue="1" operator="equal">
      <formula>"Sakshi"</formula>
    </cfRule>
  </conditionalFormatting>
  <conditionalFormatting sqref="B3:D3 G4:L4">
    <cfRule type="cellIs" dxfId="6" priority="10" stopIfTrue="1" operator="equal">
      <formula>"Abdul"</formula>
    </cfRule>
  </conditionalFormatting>
  <conditionalFormatting sqref="B3:D3 G4:L4">
    <cfRule type="cellIs" dxfId="7" priority="11" stopIfTrue="1" operator="equal">
      <formula>"Sourabh"</formula>
    </cfRule>
  </conditionalFormatting>
  <conditionalFormatting sqref="B3:D3 G4:L4">
    <cfRule type="cellIs" dxfId="8" priority="12" stopIfTrue="1" operator="equal">
      <formula>"Prachi"</formula>
    </cfRule>
  </conditionalFormatting>
  <conditionalFormatting sqref="B3:D3 G4:L4">
    <cfRule type="cellIs" dxfId="9" priority="13" stopIfTrue="1" operator="equal">
      <formula>"Vishnu"</formula>
    </cfRule>
  </conditionalFormatting>
  <conditionalFormatting sqref="B3:D3 G4:L4">
    <cfRule type="cellIs" dxfId="10" priority="14" stopIfTrue="1" operator="equal">
      <formula>"Ivy"</formula>
    </cfRule>
  </conditionalFormatting>
  <conditionalFormatting sqref="B3:D3 G4:L4">
    <cfRule type="cellIs" dxfId="11" priority="15" stopIfTrue="1" operator="equal">
      <formula>"Rupal"</formula>
    </cfRule>
  </conditionalFormatting>
  <conditionalFormatting sqref="B3:D3 G4:L4">
    <cfRule type="cellIs" dxfId="25" priority="16" stopIfTrue="1" operator="equal">
      <formula>"Utkarsh"</formula>
    </cfRule>
  </conditionalFormatting>
  <conditionalFormatting sqref="B3:D3 G4:L4">
    <cfRule type="cellIs" dxfId="12" priority="17" stopIfTrue="1" operator="equal">
      <formula>"Soumyajit"</formula>
    </cfRule>
  </conditionalFormatting>
  <conditionalFormatting sqref="B3:D3 G4:L4">
    <cfRule type="cellIs" dxfId="13" priority="18" stopIfTrue="1" operator="equal">
      <formula>"Propali"</formula>
    </cfRule>
  </conditionalFormatting>
  <conditionalFormatting sqref="G6:H157 J6:K157 I43:I44 L43:L44 I46:I157 L46:L157">
    <cfRule type="cellIs" dxfId="16" priority="19" stopIfTrue="1" operator="equal">
      <formula>"OK"</formula>
    </cfRule>
  </conditionalFormatting>
  <conditionalFormatting sqref="B3:D3 G4:L4 G6:H157 J6:K157 I43:I44 L43:L44 I46:I157 L46:L157">
    <cfRule type="cellIs" dxfId="18" priority="20" stopIfTrue="1" operator="equal">
      <formula>"Not Tested"</formula>
    </cfRule>
  </conditionalFormatting>
  <conditionalFormatting sqref="G6:H157 J6:K157 I43:I44 L43:L44 I46:I157 L46:L157">
    <cfRule type="cellIs" dxfId="19" priority="21" stopIfTrue="1" operator="equal">
      <formula>"N/A"</formula>
    </cfRule>
  </conditionalFormatting>
  <conditionalFormatting sqref="B2:D2 G3:L3">
    <cfRule type="containsText" dxfId="20" priority="22" stopIfTrue="1" operator="containsText" text="Incomplete">
      <formula>NOT(ISERROR(SEARCH(("Incomplete"),(B2))))</formula>
    </cfRule>
  </conditionalFormatting>
  <conditionalFormatting sqref="B2:D2 G3:L3">
    <cfRule type="containsText" dxfId="17" priority="23" stopIfTrue="1" operator="containsText" text="Broken">
      <formula>NOT(ISERROR(SEARCH(("Broken"),(B2))))</formula>
    </cfRule>
  </conditionalFormatting>
  <conditionalFormatting sqref="B2:D2 G3:L3">
    <cfRule type="containsText" dxfId="21" priority="24" stopIfTrue="1" operator="containsText" text="Some problems">
      <formula>NOT(ISERROR(SEARCH(("Some problems"),(B2))))</formula>
    </cfRule>
  </conditionalFormatting>
  <conditionalFormatting sqref="B2:D2 G3:L3">
    <cfRule type="containsText" dxfId="22" priority="25" stopIfTrue="1" operator="containsText" text="All OK">
      <formula>NOT(ISERROR(SEARCH(("All OK"),(B2))))</formula>
    </cfRule>
  </conditionalFormatting>
  <conditionalFormatting sqref="B2:D2 G3:L3">
    <cfRule type="containsText" dxfId="23" priority="26" stopIfTrue="1" operator="containsText" text="In Progress">
      <formula>NOT(ISERROR(SEARCH(("In Progress"),(B2))))</formula>
    </cfRule>
  </conditionalFormatting>
  <conditionalFormatting sqref="B2:D2 G3:L3">
    <cfRule type="containsText" dxfId="24" priority="27" stopIfTrue="1" operator="containsText" text="Not Tested">
      <formula>NOT(ISERROR(SEARCH(("Not Tested"),(B2))))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</cols>
  <sheetData>
    <row r="1">
      <c r="A1" s="1" t="s">
        <v>339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339</v>
      </c>
      <c r="H1" s="6"/>
      <c r="I1" s="7"/>
      <c r="J1" s="5" t="s">
        <v>340</v>
      </c>
      <c r="K1" s="6"/>
      <c r="L1" s="7"/>
    </row>
    <row r="2">
      <c r="A2" s="8"/>
      <c r="B2" s="9" t="s">
        <v>10</v>
      </c>
      <c r="C2" s="9" t="s">
        <v>341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</row>
    <row r="3">
      <c r="A3" s="13" t="s">
        <v>8</v>
      </c>
      <c r="B3" s="9" t="s">
        <v>12</v>
      </c>
      <c r="C3" s="9" t="s">
        <v>285</v>
      </c>
      <c r="D3" s="9" t="s">
        <v>12</v>
      </c>
      <c r="E3" s="10"/>
      <c r="F3" s="14" t="s">
        <v>9</v>
      </c>
      <c r="G3" s="15" t="s">
        <v>10</v>
      </c>
      <c r="H3" s="15" t="s">
        <v>11</v>
      </c>
      <c r="I3" s="15" t="s">
        <v>10</v>
      </c>
      <c r="J3" s="15" t="s">
        <v>10</v>
      </c>
      <c r="K3" s="15" t="s">
        <v>10</v>
      </c>
      <c r="L3" s="15" t="s">
        <v>11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285</v>
      </c>
      <c r="I4" s="15" t="s">
        <v>12</v>
      </c>
      <c r="J4" s="15" t="s">
        <v>12</v>
      </c>
      <c r="K4" s="15" t="s">
        <v>12</v>
      </c>
      <c r="L4" s="15" t="s">
        <v>286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</row>
    <row r="6">
      <c r="A6" s="203" t="s">
        <v>342</v>
      </c>
      <c r="B6" s="115" t="s">
        <v>109</v>
      </c>
      <c r="C6" s="204" t="s">
        <v>343</v>
      </c>
      <c r="D6" s="205"/>
      <c r="E6" s="206"/>
      <c r="F6" s="17"/>
      <c r="G6" s="29"/>
      <c r="H6" s="29" t="s">
        <v>24</v>
      </c>
      <c r="I6" s="29"/>
      <c r="J6" s="29"/>
      <c r="K6" s="29"/>
      <c r="L6" s="29"/>
    </row>
    <row r="7">
      <c r="A7" s="32"/>
      <c r="B7" s="32"/>
      <c r="C7" s="142" t="s">
        <v>344</v>
      </c>
      <c r="D7" s="205"/>
      <c r="E7" s="207" t="s">
        <v>96</v>
      </c>
      <c r="F7" s="208" t="s">
        <v>311</v>
      </c>
      <c r="G7" s="29"/>
      <c r="H7" s="29" t="s">
        <v>24</v>
      </c>
      <c r="I7" s="29"/>
      <c r="J7" s="29"/>
      <c r="K7" s="29"/>
      <c r="L7" s="29"/>
    </row>
    <row r="8">
      <c r="A8" s="32"/>
      <c r="B8" s="32"/>
      <c r="C8" s="91" t="s">
        <v>345</v>
      </c>
      <c r="D8" s="205"/>
      <c r="E8" s="209" t="s">
        <v>346</v>
      </c>
      <c r="F8" s="17"/>
      <c r="G8" s="29"/>
      <c r="H8" s="29" t="s">
        <v>24</v>
      </c>
      <c r="I8" s="29"/>
      <c r="J8" s="29"/>
      <c r="K8" s="29"/>
      <c r="L8" s="29"/>
    </row>
    <row r="9">
      <c r="A9" s="32"/>
      <c r="B9" s="32"/>
      <c r="C9" s="91" t="s">
        <v>347</v>
      </c>
      <c r="D9" s="205"/>
      <c r="E9" s="210" t="s">
        <v>308</v>
      </c>
      <c r="F9" s="17"/>
      <c r="G9" s="29"/>
      <c r="H9" s="29" t="s">
        <v>24</v>
      </c>
      <c r="I9" s="29"/>
      <c r="J9" s="29"/>
      <c r="K9" s="29"/>
      <c r="L9" s="29"/>
    </row>
    <row r="10">
      <c r="A10" s="32"/>
      <c r="B10" s="32"/>
      <c r="C10" s="87" t="s">
        <v>348</v>
      </c>
      <c r="D10" s="205"/>
      <c r="E10" s="211" t="s">
        <v>77</v>
      </c>
      <c r="F10" s="17"/>
      <c r="G10" s="29"/>
      <c r="H10" s="29"/>
      <c r="I10" s="29"/>
      <c r="J10" s="29"/>
      <c r="K10" s="29"/>
      <c r="L10" s="29"/>
    </row>
    <row r="11">
      <c r="A11" s="32"/>
      <c r="B11" s="32"/>
      <c r="C11" s="87" t="s">
        <v>349</v>
      </c>
      <c r="D11" s="205"/>
      <c r="E11" s="211" t="s">
        <v>100</v>
      </c>
      <c r="F11" s="212" t="s">
        <v>101</v>
      </c>
      <c r="G11" s="29"/>
      <c r="H11" s="29"/>
      <c r="I11" s="29"/>
      <c r="J11" s="29"/>
      <c r="K11" s="29"/>
      <c r="L11" s="29"/>
    </row>
    <row r="12">
      <c r="A12" s="32"/>
      <c r="B12" s="32"/>
      <c r="C12" s="87" t="s">
        <v>350</v>
      </c>
      <c r="D12" s="205"/>
      <c r="E12" s="211" t="s">
        <v>62</v>
      </c>
      <c r="F12" s="212" t="s">
        <v>351</v>
      </c>
      <c r="G12" s="196"/>
      <c r="H12" s="196"/>
      <c r="I12" s="196"/>
      <c r="J12" s="196"/>
      <c r="K12" s="196"/>
      <c r="L12" s="196"/>
    </row>
    <row r="13">
      <c r="A13" s="32"/>
      <c r="B13" s="32"/>
      <c r="C13" s="87" t="s">
        <v>352</v>
      </c>
      <c r="D13" s="205"/>
      <c r="E13" s="205"/>
      <c r="F13" s="213"/>
      <c r="G13" s="197"/>
      <c r="H13" s="197"/>
      <c r="I13" s="197"/>
      <c r="J13" s="197"/>
      <c r="K13" s="197"/>
      <c r="L13" s="197"/>
    </row>
    <row r="14">
      <c r="A14" s="32"/>
      <c r="B14" s="32"/>
      <c r="C14" s="87" t="s">
        <v>353</v>
      </c>
      <c r="D14" s="205"/>
      <c r="E14" s="205"/>
      <c r="F14" s="213"/>
      <c r="G14" s="197"/>
      <c r="H14" s="197"/>
      <c r="I14" s="197"/>
      <c r="J14" s="197"/>
      <c r="K14" s="197"/>
      <c r="L14" s="197"/>
    </row>
    <row r="15">
      <c r="A15" s="32"/>
      <c r="B15" s="32"/>
      <c r="C15" s="77" t="s">
        <v>354</v>
      </c>
      <c r="D15" s="205"/>
      <c r="E15" s="205"/>
      <c r="F15" s="213" t="s">
        <v>83</v>
      </c>
      <c r="G15" s="197"/>
      <c r="H15" s="197"/>
      <c r="I15" s="197"/>
      <c r="J15" s="197"/>
      <c r="K15" s="197"/>
      <c r="L15" s="197"/>
    </row>
    <row r="16">
      <c r="A16" s="32"/>
      <c r="B16" s="32"/>
      <c r="C16" s="214" t="s">
        <v>355</v>
      </c>
      <c r="D16" s="205"/>
      <c r="E16" s="211" t="s">
        <v>34</v>
      </c>
      <c r="F16" s="17"/>
      <c r="G16" s="197"/>
      <c r="H16" s="197"/>
      <c r="I16" s="197"/>
      <c r="J16" s="197"/>
      <c r="K16" s="197"/>
      <c r="L16" s="197"/>
    </row>
    <row r="17">
      <c r="A17" s="32"/>
      <c r="B17" s="32"/>
      <c r="C17" s="87" t="s">
        <v>356</v>
      </c>
      <c r="D17" s="205"/>
      <c r="E17" s="215"/>
      <c r="F17" s="17"/>
      <c r="G17" s="197"/>
      <c r="H17" s="197"/>
      <c r="I17" s="197"/>
      <c r="J17" s="197"/>
      <c r="K17" s="197"/>
      <c r="L17" s="197"/>
    </row>
    <row r="18">
      <c r="A18" s="32"/>
      <c r="B18" s="32"/>
      <c r="C18" s="77" t="s">
        <v>357</v>
      </c>
      <c r="D18" s="205"/>
      <c r="E18" s="211" t="s">
        <v>34</v>
      </c>
      <c r="F18" s="17"/>
      <c r="G18" s="197"/>
      <c r="H18" s="197"/>
      <c r="I18" s="197"/>
      <c r="J18" s="197"/>
      <c r="K18" s="197"/>
      <c r="L18" s="197"/>
    </row>
    <row r="19">
      <c r="A19" s="32"/>
      <c r="B19" s="32"/>
      <c r="C19" s="87" t="s">
        <v>358</v>
      </c>
      <c r="D19" s="205"/>
      <c r="E19" s="215"/>
      <c r="F19" s="212" t="s">
        <v>38</v>
      </c>
      <c r="G19" s="197"/>
      <c r="H19" s="197"/>
      <c r="I19" s="197"/>
      <c r="J19" s="197"/>
      <c r="K19" s="197"/>
      <c r="L19" s="197"/>
    </row>
    <row r="20">
      <c r="A20" s="32"/>
      <c r="B20" s="32"/>
      <c r="C20" s="129" t="s">
        <v>359</v>
      </c>
      <c r="D20" s="205"/>
      <c r="E20" s="215"/>
      <c r="F20" s="212" t="s">
        <v>38</v>
      </c>
      <c r="G20" s="197"/>
      <c r="H20" s="197"/>
      <c r="I20" s="197"/>
      <c r="J20" s="197"/>
      <c r="K20" s="197"/>
      <c r="L20" s="197"/>
    </row>
    <row r="21">
      <c r="A21" s="32"/>
      <c r="B21" s="32"/>
      <c r="C21" s="87" t="s">
        <v>360</v>
      </c>
      <c r="D21" s="205"/>
      <c r="E21" s="215"/>
      <c r="F21" s="212" t="s">
        <v>38</v>
      </c>
      <c r="G21" s="197"/>
      <c r="H21" s="197"/>
      <c r="I21" s="197"/>
      <c r="J21" s="197"/>
      <c r="K21" s="197"/>
      <c r="L21" s="197"/>
    </row>
    <row r="22">
      <c r="A22" s="32"/>
      <c r="B22" s="37"/>
      <c r="C22" s="87" t="s">
        <v>361</v>
      </c>
      <c r="D22" s="205"/>
      <c r="E22" s="211" t="s">
        <v>100</v>
      </c>
      <c r="F22" s="213" t="s">
        <v>103</v>
      </c>
      <c r="G22" s="196"/>
      <c r="H22" s="196"/>
      <c r="I22" s="196"/>
      <c r="J22" s="196"/>
      <c r="K22" s="196"/>
      <c r="L22" s="196"/>
    </row>
    <row r="23">
      <c r="A23" s="32"/>
      <c r="B23" s="216" t="s">
        <v>362</v>
      </c>
      <c r="C23" s="204" t="s">
        <v>363</v>
      </c>
      <c r="D23" s="205"/>
      <c r="E23" s="205"/>
      <c r="F23" s="213" t="s">
        <v>364</v>
      </c>
      <c r="G23" s="197"/>
      <c r="H23" s="197"/>
      <c r="I23" s="197"/>
      <c r="J23" s="197"/>
      <c r="K23" s="197"/>
      <c r="L23" s="197"/>
    </row>
    <row r="24">
      <c r="A24" s="32"/>
      <c r="B24" s="32"/>
      <c r="C24" s="204" t="s">
        <v>365</v>
      </c>
      <c r="D24" s="205"/>
      <c r="E24" s="205"/>
      <c r="F24" s="212" t="s">
        <v>105</v>
      </c>
      <c r="G24" s="197"/>
      <c r="H24" s="197"/>
      <c r="I24" s="197"/>
      <c r="J24" s="197"/>
      <c r="K24" s="197"/>
      <c r="L24" s="197"/>
    </row>
    <row r="25">
      <c r="A25" s="32"/>
      <c r="B25" s="37"/>
      <c r="C25" s="217" t="s">
        <v>366</v>
      </c>
      <c r="D25" s="205"/>
      <c r="E25" s="205"/>
      <c r="F25" s="212" t="s">
        <v>107</v>
      </c>
      <c r="G25" s="197"/>
      <c r="H25" s="197"/>
      <c r="I25" s="197"/>
      <c r="J25" s="197"/>
      <c r="K25" s="197"/>
      <c r="L25" s="197"/>
    </row>
    <row r="26">
      <c r="A26" s="203" t="s">
        <v>108</v>
      </c>
      <c r="B26" s="102" t="s">
        <v>109</v>
      </c>
      <c r="C26" s="77" t="s">
        <v>110</v>
      </c>
      <c r="D26" s="205"/>
      <c r="E26" s="205"/>
      <c r="F26" s="17"/>
      <c r="G26" s="197"/>
      <c r="H26" s="197"/>
      <c r="I26" s="197"/>
      <c r="J26" s="197"/>
      <c r="K26" s="197"/>
      <c r="L26" s="197"/>
    </row>
    <row r="27">
      <c r="A27" s="32"/>
      <c r="B27" s="32"/>
      <c r="C27" s="77" t="s">
        <v>112</v>
      </c>
      <c r="D27" s="205"/>
      <c r="E27" s="205"/>
      <c r="F27" s="17"/>
      <c r="G27" s="197"/>
      <c r="H27" s="197"/>
      <c r="I27" s="197"/>
      <c r="J27" s="197"/>
      <c r="K27" s="197"/>
      <c r="L27" s="197"/>
    </row>
    <row r="28">
      <c r="A28" s="32"/>
      <c r="B28" s="32"/>
      <c r="C28" s="80" t="s">
        <v>367</v>
      </c>
      <c r="D28" s="205"/>
      <c r="E28" s="206"/>
      <c r="F28" s="212" t="s">
        <v>38</v>
      </c>
      <c r="G28" s="197"/>
      <c r="H28" s="197"/>
      <c r="I28" s="197"/>
      <c r="J28" s="197"/>
      <c r="K28" s="197"/>
      <c r="L28" s="197"/>
    </row>
    <row r="29">
      <c r="A29" s="32"/>
      <c r="B29" s="32"/>
      <c r="C29" s="83" t="s">
        <v>114</v>
      </c>
      <c r="D29" s="205"/>
      <c r="E29" s="218" t="s">
        <v>115</v>
      </c>
      <c r="F29" s="17"/>
      <c r="G29" s="197"/>
      <c r="H29" s="197"/>
      <c r="I29" s="197"/>
      <c r="J29" s="197"/>
      <c r="K29" s="197"/>
      <c r="L29" s="197"/>
    </row>
    <row r="30">
      <c r="A30" s="32"/>
      <c r="B30" s="32"/>
      <c r="C30" s="85" t="s">
        <v>116</v>
      </c>
      <c r="D30" s="205"/>
      <c r="E30" s="205"/>
      <c r="F30" s="213" t="s">
        <v>117</v>
      </c>
      <c r="G30" s="197"/>
      <c r="H30" s="197"/>
      <c r="I30" s="197"/>
      <c r="J30" s="197"/>
      <c r="K30" s="197"/>
      <c r="L30" s="197"/>
    </row>
    <row r="31">
      <c r="A31" s="32"/>
      <c r="B31" s="32"/>
      <c r="C31" s="87" t="s">
        <v>118</v>
      </c>
      <c r="D31" s="205"/>
      <c r="E31" s="209" t="s">
        <v>312</v>
      </c>
      <c r="F31" s="213"/>
      <c r="G31" s="197"/>
      <c r="H31" s="197"/>
      <c r="I31" s="197"/>
      <c r="J31" s="197"/>
      <c r="K31" s="197"/>
      <c r="L31" s="197"/>
    </row>
    <row r="32">
      <c r="A32" s="32"/>
      <c r="B32" s="32"/>
      <c r="C32" s="90" t="s">
        <v>120</v>
      </c>
      <c r="D32" s="205"/>
      <c r="E32" s="218" t="s">
        <v>121</v>
      </c>
      <c r="F32" s="213" t="s">
        <v>122</v>
      </c>
      <c r="G32" s="197"/>
      <c r="H32" s="197"/>
      <c r="I32" s="197"/>
      <c r="J32" s="197"/>
      <c r="K32" s="197"/>
      <c r="L32" s="197"/>
    </row>
    <row r="33">
      <c r="A33" s="32"/>
      <c r="B33" s="32"/>
      <c r="C33" s="91" t="s">
        <v>123</v>
      </c>
      <c r="D33" s="205"/>
      <c r="E33" s="205"/>
      <c r="F33" s="213" t="s">
        <v>124</v>
      </c>
      <c r="G33" s="197"/>
      <c r="H33" s="197"/>
      <c r="I33" s="197"/>
      <c r="J33" s="197"/>
      <c r="K33" s="197"/>
      <c r="L33" s="197"/>
    </row>
    <row r="34">
      <c r="A34" s="32"/>
      <c r="B34" s="32"/>
      <c r="C34" s="92" t="s">
        <v>125</v>
      </c>
      <c r="D34" s="205"/>
      <c r="E34" s="205"/>
      <c r="F34" s="213" t="s">
        <v>126</v>
      </c>
      <c r="G34" s="197"/>
      <c r="H34" s="197"/>
      <c r="I34" s="197"/>
      <c r="J34" s="197"/>
      <c r="K34" s="197"/>
      <c r="L34" s="197"/>
    </row>
    <row r="35">
      <c r="A35" s="32"/>
      <c r="B35" s="32"/>
      <c r="C35" s="77" t="s">
        <v>127</v>
      </c>
      <c r="D35" s="205"/>
      <c r="E35" s="205"/>
      <c r="F35" s="213" t="s">
        <v>128</v>
      </c>
      <c r="G35" s="197"/>
      <c r="H35" s="197"/>
      <c r="I35" s="197"/>
      <c r="J35" s="197"/>
      <c r="K35" s="197"/>
      <c r="L35" s="197"/>
    </row>
    <row r="36">
      <c r="A36" s="32"/>
      <c r="B36" s="32"/>
      <c r="C36" s="93" t="s">
        <v>129</v>
      </c>
      <c r="D36" s="205"/>
      <c r="E36" s="219" t="s">
        <v>313</v>
      </c>
      <c r="F36" s="17"/>
      <c r="G36" s="197"/>
      <c r="H36" s="197"/>
      <c r="I36" s="197"/>
      <c r="J36" s="197"/>
      <c r="K36" s="197"/>
      <c r="L36" s="197"/>
    </row>
    <row r="37">
      <c r="A37" s="32"/>
      <c r="B37" s="32"/>
      <c r="C37" s="92" t="s">
        <v>368</v>
      </c>
      <c r="D37" s="205"/>
      <c r="E37" s="205"/>
      <c r="F37" s="17"/>
      <c r="G37" s="197"/>
      <c r="H37" s="197"/>
      <c r="I37" s="197"/>
      <c r="J37" s="197"/>
      <c r="K37" s="197"/>
      <c r="L37" s="197"/>
    </row>
    <row r="38">
      <c r="A38" s="32"/>
      <c r="B38" s="32"/>
      <c r="C38" s="96" t="s">
        <v>132</v>
      </c>
      <c r="D38" s="205"/>
      <c r="E38" s="205"/>
      <c r="F38" s="220" t="s">
        <v>133</v>
      </c>
      <c r="G38" s="196"/>
      <c r="H38" s="196"/>
      <c r="I38" s="196"/>
      <c r="J38" s="196"/>
      <c r="K38" s="196"/>
      <c r="L38" s="196"/>
    </row>
    <row r="39">
      <c r="A39" s="32"/>
      <c r="B39" s="32"/>
      <c r="C39" s="98" t="s">
        <v>134</v>
      </c>
      <c r="D39" s="205"/>
      <c r="E39" s="211" t="s">
        <v>135</v>
      </c>
      <c r="F39" s="221" t="s">
        <v>136</v>
      </c>
      <c r="G39" s="199"/>
      <c r="H39" s="199"/>
      <c r="I39" s="199"/>
      <c r="J39" s="199"/>
      <c r="K39" s="199"/>
      <c r="L39" s="199"/>
    </row>
    <row r="40">
      <c r="A40" s="32"/>
      <c r="B40" s="32"/>
      <c r="C40" s="92" t="s">
        <v>137</v>
      </c>
      <c r="D40" s="205"/>
      <c r="E40" s="205"/>
      <c r="F40" s="17"/>
      <c r="G40" s="199"/>
      <c r="H40" s="199"/>
      <c r="I40" s="199"/>
      <c r="J40" s="199"/>
      <c r="K40" s="199"/>
      <c r="L40" s="199"/>
    </row>
    <row r="41">
      <c r="A41" s="32"/>
      <c r="B41" s="32"/>
      <c r="C41" s="92" t="s">
        <v>138</v>
      </c>
      <c r="D41" s="205"/>
      <c r="E41" s="205"/>
      <c r="F41" s="17"/>
      <c r="G41" s="199"/>
      <c r="H41" s="199"/>
      <c r="I41" s="199"/>
      <c r="J41" s="199"/>
      <c r="K41" s="199"/>
      <c r="L41" s="199"/>
    </row>
    <row r="42">
      <c r="A42" s="32"/>
      <c r="B42" s="37"/>
      <c r="C42" s="101" t="s">
        <v>139</v>
      </c>
      <c r="D42" s="205"/>
      <c r="E42" s="205"/>
      <c r="F42" s="17"/>
      <c r="G42" s="199"/>
      <c r="H42" s="199"/>
      <c r="I42" s="199"/>
      <c r="J42" s="199"/>
      <c r="K42" s="199"/>
      <c r="L42" s="199"/>
    </row>
    <row r="43">
      <c r="A43" s="32"/>
      <c r="B43" s="102" t="s">
        <v>140</v>
      </c>
      <c r="C43" s="103" t="s">
        <v>141</v>
      </c>
      <c r="D43" s="211" t="s">
        <v>333</v>
      </c>
      <c r="E43" s="222" t="s">
        <v>314</v>
      </c>
      <c r="F43" s="17"/>
      <c r="G43" s="199"/>
      <c r="H43" s="199"/>
      <c r="I43" s="199"/>
      <c r="J43" s="199"/>
      <c r="K43" s="199"/>
      <c r="L43" s="199"/>
    </row>
    <row r="44">
      <c r="A44" s="32"/>
      <c r="B44" s="32"/>
      <c r="C44" s="106" t="s">
        <v>145</v>
      </c>
      <c r="D44" s="205"/>
      <c r="E44" s="205"/>
      <c r="F44" s="213"/>
      <c r="G44" s="199"/>
      <c r="H44" s="199"/>
      <c r="I44" s="199"/>
      <c r="J44" s="199"/>
      <c r="K44" s="199"/>
      <c r="L44" s="199"/>
    </row>
    <row r="45">
      <c r="A45" s="32"/>
      <c r="B45" s="32"/>
      <c r="C45" s="93" t="s">
        <v>146</v>
      </c>
      <c r="D45" s="205"/>
      <c r="E45" s="205"/>
      <c r="F45" s="213" t="s">
        <v>147</v>
      </c>
      <c r="G45" s="199"/>
      <c r="H45" s="199"/>
      <c r="I45" s="199"/>
      <c r="J45" s="199"/>
      <c r="K45" s="199"/>
      <c r="L45" s="199"/>
    </row>
    <row r="46">
      <c r="A46" s="32"/>
      <c r="B46" s="32"/>
      <c r="C46" s="107" t="s">
        <v>148</v>
      </c>
      <c r="D46" s="205"/>
      <c r="E46" s="205"/>
      <c r="F46" s="213" t="s">
        <v>149</v>
      </c>
      <c r="G46" s="196"/>
      <c r="H46" s="196"/>
      <c r="I46" s="196"/>
      <c r="J46" s="196"/>
      <c r="K46" s="196"/>
      <c r="L46" s="196"/>
    </row>
    <row r="47">
      <c r="A47" s="32"/>
      <c r="B47" s="32"/>
      <c r="C47" s="108" t="s">
        <v>150</v>
      </c>
      <c r="D47" s="205"/>
      <c r="E47" s="205"/>
      <c r="F47" s="213" t="s">
        <v>149</v>
      </c>
      <c r="G47" s="197"/>
      <c r="H47" s="197"/>
      <c r="I47" s="197"/>
      <c r="J47" s="197"/>
      <c r="K47" s="197"/>
      <c r="L47" s="197"/>
    </row>
    <row r="48">
      <c r="A48" s="32"/>
      <c r="B48" s="32"/>
      <c r="C48" s="109" t="s">
        <v>151</v>
      </c>
      <c r="D48" s="205"/>
      <c r="E48" s="211" t="s">
        <v>152</v>
      </c>
      <c r="F48" s="212" t="s">
        <v>153</v>
      </c>
      <c r="G48" s="197"/>
      <c r="H48" s="197"/>
      <c r="I48" s="197"/>
      <c r="J48" s="197"/>
      <c r="K48" s="197"/>
      <c r="L48" s="197"/>
    </row>
    <row r="49">
      <c r="A49" s="32"/>
      <c r="B49" s="32"/>
      <c r="C49" s="110" t="s">
        <v>154</v>
      </c>
      <c r="D49" s="205"/>
      <c r="E49" s="205"/>
      <c r="F49" s="17"/>
      <c r="G49" s="197"/>
      <c r="H49" s="197"/>
      <c r="I49" s="197"/>
      <c r="J49" s="197"/>
      <c r="K49" s="197"/>
      <c r="L49" s="197"/>
    </row>
    <row r="50">
      <c r="A50" s="32"/>
      <c r="B50" s="32"/>
      <c r="C50" s="111" t="s">
        <v>155</v>
      </c>
      <c r="D50" s="205"/>
      <c r="E50" s="205"/>
      <c r="F50" s="221" t="s">
        <v>156</v>
      </c>
      <c r="G50" s="197"/>
      <c r="H50" s="197"/>
      <c r="I50" s="197"/>
      <c r="J50" s="197"/>
      <c r="K50" s="197"/>
      <c r="L50" s="197"/>
    </row>
    <row r="51">
      <c r="A51" s="32"/>
      <c r="B51" s="32"/>
      <c r="C51" s="112" t="s">
        <v>157</v>
      </c>
      <c r="D51" s="205"/>
      <c r="E51" s="218" t="s">
        <v>158</v>
      </c>
      <c r="F51" s="17"/>
      <c r="G51" s="197"/>
      <c r="H51" s="197"/>
      <c r="I51" s="197"/>
      <c r="J51" s="197"/>
      <c r="K51" s="197"/>
      <c r="L51" s="197"/>
    </row>
    <row r="52">
      <c r="A52" s="32"/>
      <c r="B52" s="32"/>
      <c r="C52" s="83" t="s">
        <v>159</v>
      </c>
      <c r="D52" s="205"/>
      <c r="E52" s="211" t="s">
        <v>160</v>
      </c>
      <c r="F52" s="17"/>
      <c r="G52" s="197"/>
      <c r="H52" s="197"/>
      <c r="I52" s="197"/>
      <c r="J52" s="197"/>
      <c r="K52" s="197"/>
      <c r="L52" s="197"/>
    </row>
    <row r="53">
      <c r="A53" s="32"/>
      <c r="B53" s="32"/>
      <c r="C53" s="93" t="s">
        <v>161</v>
      </c>
      <c r="D53" s="205"/>
      <c r="E53" s="205"/>
      <c r="F53" s="17"/>
      <c r="G53" s="197"/>
      <c r="H53" s="197"/>
      <c r="I53" s="197"/>
      <c r="J53" s="197"/>
      <c r="K53" s="197"/>
      <c r="L53" s="197"/>
    </row>
    <row r="54">
      <c r="A54" s="32"/>
      <c r="B54" s="32"/>
      <c r="C54" s="93" t="s">
        <v>162</v>
      </c>
      <c r="D54" s="205"/>
      <c r="E54" s="211" t="s">
        <v>163</v>
      </c>
      <c r="F54" s="223"/>
      <c r="G54" s="197"/>
      <c r="H54" s="197"/>
      <c r="I54" s="197"/>
      <c r="J54" s="197"/>
      <c r="K54" s="197"/>
      <c r="L54" s="197"/>
    </row>
    <row r="55">
      <c r="A55" s="32"/>
      <c r="B55" s="32"/>
      <c r="C55" s="106" t="s">
        <v>164</v>
      </c>
      <c r="D55" s="205"/>
      <c r="E55" s="205"/>
      <c r="F55" s="224" t="s">
        <v>165</v>
      </c>
      <c r="G55" s="197"/>
      <c r="H55" s="197"/>
      <c r="I55" s="197"/>
      <c r="J55" s="197"/>
      <c r="K55" s="197"/>
      <c r="L55" s="197"/>
    </row>
    <row r="56">
      <c r="A56" s="32"/>
      <c r="B56" s="32"/>
      <c r="C56" s="106" t="s">
        <v>166</v>
      </c>
      <c r="D56" s="205"/>
      <c r="E56" s="205"/>
      <c r="F56" s="212" t="s">
        <v>167</v>
      </c>
      <c r="G56" s="197"/>
      <c r="H56" s="197"/>
      <c r="I56" s="197"/>
      <c r="J56" s="197"/>
      <c r="K56" s="197"/>
      <c r="L56" s="197"/>
    </row>
    <row r="57">
      <c r="A57" s="32"/>
      <c r="B57" s="37"/>
      <c r="C57" s="93" t="s">
        <v>168</v>
      </c>
      <c r="D57" s="205"/>
      <c r="E57" s="205"/>
      <c r="F57" s="17"/>
      <c r="G57" s="197"/>
      <c r="H57" s="197"/>
      <c r="I57" s="197"/>
      <c r="J57" s="197"/>
      <c r="K57" s="197"/>
      <c r="L57" s="197"/>
    </row>
    <row r="58">
      <c r="A58" s="32"/>
      <c r="B58" s="115" t="s">
        <v>169</v>
      </c>
      <c r="C58" s="85" t="s">
        <v>141</v>
      </c>
      <c r="D58" s="205"/>
      <c r="E58" s="205"/>
      <c r="F58" s="213" t="s">
        <v>170</v>
      </c>
      <c r="G58" s="197"/>
      <c r="H58" s="197"/>
      <c r="I58" s="197"/>
      <c r="J58" s="197"/>
      <c r="K58" s="197"/>
      <c r="L58" s="197"/>
    </row>
    <row r="59">
      <c r="A59" s="32"/>
      <c r="B59" s="32"/>
      <c r="C59" s="85" t="s">
        <v>171</v>
      </c>
      <c r="D59" s="211" t="s">
        <v>334</v>
      </c>
      <c r="E59" s="205"/>
      <c r="F59" s="212" t="s">
        <v>173</v>
      </c>
      <c r="G59" s="197"/>
      <c r="H59" s="197"/>
      <c r="I59" s="197"/>
      <c r="J59" s="197"/>
      <c r="K59" s="197"/>
      <c r="L59" s="197"/>
    </row>
    <row r="60">
      <c r="A60" s="32"/>
      <c r="B60" s="32"/>
      <c r="C60" s="116" t="s">
        <v>315</v>
      </c>
      <c r="D60" s="205"/>
      <c r="E60" s="205"/>
      <c r="F60" s="225" t="s">
        <v>176</v>
      </c>
      <c r="G60" s="197"/>
      <c r="H60" s="197"/>
      <c r="I60" s="197"/>
      <c r="J60" s="197"/>
      <c r="K60" s="197"/>
      <c r="L60" s="197"/>
    </row>
    <row r="61">
      <c r="A61" s="32"/>
      <c r="B61" s="37"/>
      <c r="C61" s="77" t="s">
        <v>177</v>
      </c>
      <c r="D61" s="205"/>
      <c r="E61" s="205"/>
      <c r="F61" s="17"/>
      <c r="G61" s="197"/>
      <c r="H61" s="197"/>
      <c r="I61" s="197"/>
      <c r="J61" s="197"/>
      <c r="K61" s="197"/>
      <c r="L61" s="197"/>
    </row>
    <row r="62">
      <c r="A62" s="32"/>
      <c r="B62" s="102" t="s">
        <v>178</v>
      </c>
      <c r="C62" s="93" t="s">
        <v>179</v>
      </c>
      <c r="D62" s="205"/>
      <c r="E62" s="205"/>
      <c r="F62" s="17"/>
      <c r="G62" s="197"/>
      <c r="H62" s="197"/>
      <c r="I62" s="197"/>
      <c r="J62" s="197"/>
      <c r="K62" s="197"/>
      <c r="L62" s="197"/>
    </row>
    <row r="63">
      <c r="A63" s="32"/>
      <c r="B63" s="32"/>
      <c r="C63" s="93" t="s">
        <v>141</v>
      </c>
      <c r="D63" s="205"/>
      <c r="E63" s="211" t="s">
        <v>180</v>
      </c>
      <c r="F63" s="17"/>
      <c r="G63" s="197"/>
      <c r="H63" s="197"/>
      <c r="I63" s="197"/>
      <c r="J63" s="197"/>
      <c r="K63" s="197"/>
      <c r="L63" s="197"/>
    </row>
    <row r="64">
      <c r="A64" s="32"/>
      <c r="B64" s="32"/>
      <c r="C64" s="106" t="s">
        <v>181</v>
      </c>
      <c r="D64" s="205"/>
      <c r="E64" s="205"/>
      <c r="F64" s="213" t="s">
        <v>182</v>
      </c>
      <c r="G64" s="197"/>
      <c r="H64" s="197"/>
      <c r="I64" s="197"/>
      <c r="J64" s="197"/>
      <c r="K64" s="197"/>
      <c r="L64" s="197"/>
    </row>
    <row r="65">
      <c r="A65" s="32"/>
      <c r="B65" s="32"/>
      <c r="C65" s="93" t="s">
        <v>183</v>
      </c>
      <c r="D65" s="205"/>
      <c r="E65" s="205"/>
      <c r="F65" s="17"/>
      <c r="G65" s="197"/>
      <c r="H65" s="197"/>
      <c r="I65" s="197"/>
      <c r="J65" s="197"/>
      <c r="K65" s="197"/>
      <c r="L65" s="197"/>
    </row>
    <row r="66">
      <c r="A66" s="32"/>
      <c r="B66" s="32"/>
      <c r="C66" s="93" t="s">
        <v>184</v>
      </c>
      <c r="D66" s="205"/>
      <c r="E66" s="205"/>
      <c r="F66" s="17"/>
      <c r="G66" s="197"/>
      <c r="H66" s="197"/>
      <c r="I66" s="197"/>
      <c r="J66" s="197"/>
      <c r="K66" s="197"/>
      <c r="L66" s="197"/>
    </row>
    <row r="67">
      <c r="A67" s="32"/>
      <c r="B67" s="32"/>
      <c r="C67" s="106" t="s">
        <v>185</v>
      </c>
      <c r="D67" s="205"/>
      <c r="E67" s="205"/>
      <c r="F67" s="213" t="s">
        <v>186</v>
      </c>
      <c r="G67" s="197"/>
      <c r="H67" s="197"/>
      <c r="I67" s="197"/>
      <c r="J67" s="197"/>
      <c r="K67" s="197"/>
      <c r="L67" s="197"/>
    </row>
    <row r="68">
      <c r="A68" s="32"/>
      <c r="B68" s="32"/>
      <c r="C68" s="87" t="s">
        <v>187</v>
      </c>
      <c r="D68" s="205"/>
      <c r="E68" s="205"/>
      <c r="F68" s="17"/>
      <c r="G68" s="197"/>
      <c r="H68" s="197"/>
      <c r="I68" s="197"/>
      <c r="J68" s="197"/>
      <c r="K68" s="197"/>
      <c r="L68" s="197"/>
    </row>
    <row r="69">
      <c r="A69" s="32"/>
      <c r="B69" s="32"/>
      <c r="C69" s="87" t="s">
        <v>188</v>
      </c>
      <c r="D69" s="205"/>
      <c r="E69" s="205"/>
      <c r="F69" s="212" t="s">
        <v>189</v>
      </c>
      <c r="G69" s="197"/>
      <c r="H69" s="197"/>
      <c r="I69" s="197"/>
      <c r="J69" s="197"/>
      <c r="K69" s="197"/>
      <c r="L69" s="197"/>
    </row>
    <row r="70">
      <c r="A70" s="32"/>
      <c r="B70" s="32"/>
      <c r="C70" s="77" t="s">
        <v>190</v>
      </c>
      <c r="D70" s="205"/>
      <c r="E70" s="205"/>
      <c r="F70" s="17"/>
      <c r="G70" s="196"/>
      <c r="H70" s="196"/>
      <c r="I70" s="196"/>
      <c r="J70" s="196"/>
      <c r="K70" s="196"/>
      <c r="L70" s="196"/>
    </row>
    <row r="71">
      <c r="A71" s="32"/>
      <c r="B71" s="32"/>
      <c r="C71" s="106" t="s">
        <v>191</v>
      </c>
      <c r="D71" s="205"/>
      <c r="E71" s="205"/>
      <c r="F71" s="213" t="s">
        <v>192</v>
      </c>
      <c r="G71" s="197"/>
      <c r="H71" s="197"/>
      <c r="I71" s="197"/>
      <c r="J71" s="197"/>
      <c r="K71" s="197"/>
      <c r="L71" s="197"/>
    </row>
    <row r="72">
      <c r="A72" s="32"/>
      <c r="B72" s="32"/>
      <c r="C72" s="106" t="s">
        <v>193</v>
      </c>
      <c r="D72" s="205"/>
      <c r="E72" s="205"/>
      <c r="F72" s="17"/>
      <c r="G72" s="197"/>
      <c r="H72" s="197"/>
      <c r="I72" s="197"/>
      <c r="J72" s="197"/>
      <c r="K72" s="197"/>
      <c r="L72" s="197"/>
    </row>
    <row r="73">
      <c r="A73" s="32"/>
      <c r="B73" s="32"/>
      <c r="C73" s="93" t="s">
        <v>194</v>
      </c>
      <c r="D73" s="205"/>
      <c r="E73" s="205"/>
      <c r="F73" s="17"/>
      <c r="G73" s="197"/>
      <c r="H73" s="197"/>
      <c r="I73" s="197"/>
      <c r="J73" s="197"/>
      <c r="K73" s="197"/>
      <c r="L73" s="197"/>
    </row>
    <row r="74">
      <c r="A74" s="32"/>
      <c r="B74" s="32"/>
      <c r="C74" s="103" t="s">
        <v>195</v>
      </c>
      <c r="D74" s="205"/>
      <c r="E74" s="205"/>
      <c r="F74" s="213" t="s">
        <v>196</v>
      </c>
      <c r="G74" s="197"/>
      <c r="H74" s="197"/>
      <c r="I74" s="197"/>
      <c r="J74" s="197"/>
      <c r="K74" s="197"/>
      <c r="L74" s="197"/>
    </row>
    <row r="75">
      <c r="A75" s="32"/>
      <c r="B75" s="32"/>
      <c r="C75" s="93" t="s">
        <v>197</v>
      </c>
      <c r="D75" s="205"/>
      <c r="E75" s="205"/>
      <c r="F75" s="213" t="s">
        <v>196</v>
      </c>
      <c r="G75" s="197"/>
      <c r="H75" s="197"/>
      <c r="I75" s="197"/>
      <c r="J75" s="197"/>
      <c r="K75" s="197"/>
      <c r="L75" s="197"/>
    </row>
    <row r="76">
      <c r="A76" s="32"/>
      <c r="B76" s="32"/>
      <c r="C76" s="226" t="s">
        <v>198</v>
      </c>
      <c r="D76" s="205"/>
      <c r="E76" s="205"/>
      <c r="F76" s="213" t="s">
        <v>196</v>
      </c>
      <c r="G76" s="197"/>
      <c r="H76" s="197"/>
      <c r="I76" s="197"/>
      <c r="J76" s="197"/>
      <c r="K76" s="197"/>
      <c r="L76" s="197"/>
    </row>
    <row r="77">
      <c r="A77" s="32"/>
      <c r="B77" s="32"/>
      <c r="C77" s="118" t="s">
        <v>199</v>
      </c>
      <c r="D77" s="205"/>
      <c r="E77" s="205"/>
      <c r="F77" s="212" t="s">
        <v>200</v>
      </c>
      <c r="G77" s="196"/>
      <c r="H77" s="196"/>
      <c r="I77" s="196"/>
      <c r="J77" s="196"/>
      <c r="K77" s="196"/>
      <c r="L77" s="196"/>
    </row>
    <row r="78">
      <c r="A78" s="32"/>
      <c r="B78" s="32"/>
      <c r="C78" s="227" t="s">
        <v>201</v>
      </c>
      <c r="D78" s="205"/>
      <c r="E78" s="205"/>
      <c r="F78" s="213" t="s">
        <v>202</v>
      </c>
      <c r="G78" s="197"/>
      <c r="H78" s="197"/>
      <c r="I78" s="197"/>
      <c r="J78" s="197"/>
      <c r="K78" s="197"/>
      <c r="L78" s="197"/>
    </row>
    <row r="79">
      <c r="A79" s="32"/>
      <c r="B79" s="32"/>
      <c r="C79" s="119" t="s">
        <v>203</v>
      </c>
      <c r="D79" s="205"/>
      <c r="E79" s="205"/>
      <c r="F79" s="213" t="s">
        <v>124</v>
      </c>
      <c r="G79" s="197"/>
      <c r="H79" s="197"/>
      <c r="I79" s="197"/>
      <c r="J79" s="197"/>
      <c r="K79" s="197"/>
      <c r="L79" s="197"/>
    </row>
    <row r="80">
      <c r="A80" s="32"/>
      <c r="B80" s="32"/>
      <c r="C80" s="120" t="s">
        <v>316</v>
      </c>
      <c r="D80" s="205"/>
      <c r="E80" s="205"/>
      <c r="F80" s="213" t="s">
        <v>124</v>
      </c>
      <c r="G80" s="197"/>
      <c r="H80" s="197"/>
      <c r="I80" s="197"/>
      <c r="J80" s="197"/>
      <c r="K80" s="197"/>
      <c r="L80" s="197"/>
    </row>
    <row r="81">
      <c r="A81" s="32"/>
      <c r="B81" s="37"/>
      <c r="C81" s="121" t="s">
        <v>205</v>
      </c>
      <c r="D81" s="228"/>
      <c r="E81" s="211" t="s">
        <v>206</v>
      </c>
      <c r="F81" s="213" t="s">
        <v>207</v>
      </c>
      <c r="G81" s="197"/>
      <c r="H81" s="197"/>
      <c r="I81" s="197"/>
      <c r="J81" s="197"/>
      <c r="K81" s="197"/>
      <c r="L81" s="197"/>
    </row>
    <row r="82">
      <c r="A82" s="32"/>
      <c r="B82" s="102" t="s">
        <v>208</v>
      </c>
      <c r="C82" s="106" t="s">
        <v>209</v>
      </c>
      <c r="D82" s="205"/>
      <c r="E82" s="205"/>
      <c r="F82" s="17"/>
      <c r="G82" s="197"/>
      <c r="H82" s="197" t="s">
        <v>24</v>
      </c>
      <c r="I82" s="197"/>
      <c r="J82" s="197"/>
      <c r="K82" s="197"/>
      <c r="L82" s="197"/>
    </row>
    <row r="83">
      <c r="A83" s="32"/>
      <c r="B83" s="32"/>
      <c r="C83" s="123" t="s">
        <v>210</v>
      </c>
      <c r="D83" s="205"/>
      <c r="E83" s="205"/>
      <c r="F83" s="213" t="s">
        <v>211</v>
      </c>
      <c r="G83" s="197"/>
      <c r="H83" s="197"/>
      <c r="I83" s="197"/>
      <c r="J83" s="197"/>
      <c r="K83" s="197"/>
      <c r="L83" s="197"/>
    </row>
    <row r="84">
      <c r="A84" s="32"/>
      <c r="B84" s="32"/>
      <c r="C84" s="124" t="s">
        <v>212</v>
      </c>
      <c r="D84" s="205"/>
      <c r="E84" s="205"/>
      <c r="F84" s="17"/>
      <c r="G84" s="197"/>
      <c r="H84" s="197" t="s">
        <v>24</v>
      </c>
      <c r="I84" s="197"/>
      <c r="J84" s="197"/>
      <c r="K84" s="197"/>
      <c r="L84" s="197"/>
    </row>
    <row r="85">
      <c r="A85" s="32"/>
      <c r="B85" s="32"/>
      <c r="C85" s="125" t="s">
        <v>213</v>
      </c>
      <c r="D85" s="205"/>
      <c r="E85" s="205"/>
      <c r="F85" s="17"/>
      <c r="G85" s="197"/>
      <c r="H85" s="197" t="s">
        <v>24</v>
      </c>
      <c r="I85" s="197"/>
      <c r="J85" s="197"/>
      <c r="K85" s="197"/>
      <c r="L85" s="197"/>
    </row>
    <row r="86">
      <c r="A86" s="32"/>
      <c r="B86" s="37"/>
      <c r="C86" s="124" t="s">
        <v>214</v>
      </c>
      <c r="D86" s="205"/>
      <c r="E86" s="205"/>
      <c r="F86" s="17"/>
      <c r="G86" s="197"/>
      <c r="H86" s="197"/>
      <c r="I86" s="197"/>
      <c r="J86" s="197"/>
      <c r="K86" s="197"/>
      <c r="L86" s="197"/>
    </row>
    <row r="87">
      <c r="A87" s="32"/>
      <c r="B87" s="115" t="s">
        <v>217</v>
      </c>
      <c r="C87" s="124" t="s">
        <v>218</v>
      </c>
      <c r="D87" s="205"/>
      <c r="E87" s="229" t="s">
        <v>219</v>
      </c>
      <c r="F87" s="17"/>
      <c r="G87" s="197"/>
      <c r="H87" s="197"/>
      <c r="I87" s="197"/>
      <c r="J87" s="197"/>
      <c r="K87" s="197"/>
      <c r="L87" s="197"/>
    </row>
    <row r="88">
      <c r="A88" s="32"/>
      <c r="B88" s="32"/>
      <c r="C88" s="124" t="s">
        <v>220</v>
      </c>
      <c r="D88" s="205"/>
      <c r="E88" s="205"/>
      <c r="F88" s="17"/>
      <c r="G88" s="197"/>
      <c r="H88" s="197"/>
      <c r="I88" s="197"/>
      <c r="J88" s="197"/>
      <c r="K88" s="197"/>
      <c r="L88" s="197"/>
    </row>
    <row r="89">
      <c r="A89" s="32"/>
      <c r="B89" s="32"/>
      <c r="C89" s="129" t="s">
        <v>221</v>
      </c>
      <c r="D89" s="205"/>
      <c r="E89" s="205"/>
      <c r="F89" s="213" t="s">
        <v>222</v>
      </c>
      <c r="G89" s="197"/>
      <c r="H89" s="197"/>
      <c r="I89" s="197"/>
      <c r="J89" s="197"/>
      <c r="K89" s="197"/>
      <c r="L89" s="197"/>
    </row>
    <row r="90">
      <c r="A90" s="32"/>
      <c r="B90" s="37"/>
      <c r="C90" s="124" t="s">
        <v>223</v>
      </c>
      <c r="D90" s="205"/>
      <c r="E90" s="205"/>
      <c r="F90" s="213" t="s">
        <v>224</v>
      </c>
      <c r="G90" s="197"/>
      <c r="H90" s="197"/>
      <c r="I90" s="197"/>
      <c r="J90" s="197"/>
      <c r="K90" s="197"/>
      <c r="L90" s="197"/>
    </row>
    <row r="91">
      <c r="A91" s="32"/>
      <c r="B91" s="115" t="s">
        <v>225</v>
      </c>
      <c r="C91" s="130" t="s">
        <v>226</v>
      </c>
      <c r="D91" s="205"/>
      <c r="E91" s="205"/>
      <c r="F91" s="230" t="s">
        <v>227</v>
      </c>
      <c r="G91" s="197"/>
      <c r="H91" s="197"/>
      <c r="I91" s="197"/>
      <c r="J91" s="197"/>
      <c r="K91" s="197"/>
      <c r="L91" s="197"/>
    </row>
    <row r="92">
      <c r="A92" s="32"/>
      <c r="B92" s="32"/>
      <c r="C92" s="231" t="s">
        <v>318</v>
      </c>
      <c r="D92" s="205"/>
      <c r="E92" s="205"/>
      <c r="F92" s="232"/>
      <c r="G92" s="197"/>
      <c r="H92" s="197"/>
      <c r="I92" s="197"/>
      <c r="J92" s="197"/>
      <c r="K92" s="197"/>
      <c r="L92" s="197"/>
    </row>
    <row r="93">
      <c r="A93" s="32"/>
      <c r="B93" s="32"/>
      <c r="C93" s="231" t="s">
        <v>229</v>
      </c>
      <c r="D93" s="205"/>
      <c r="E93" s="205"/>
      <c r="F93" s="233" t="s">
        <v>230</v>
      </c>
      <c r="G93" s="197"/>
      <c r="H93" s="197"/>
      <c r="I93" s="197"/>
      <c r="J93" s="197"/>
      <c r="K93" s="197"/>
      <c r="L93" s="197"/>
    </row>
    <row r="94">
      <c r="A94" s="32"/>
      <c r="B94" s="32"/>
      <c r="C94" s="231" t="s">
        <v>231</v>
      </c>
      <c r="D94" s="205"/>
      <c r="E94" s="205"/>
      <c r="F94" s="232"/>
      <c r="G94" s="197"/>
      <c r="H94" s="197"/>
      <c r="I94" s="197"/>
      <c r="J94" s="197"/>
      <c r="K94" s="197"/>
      <c r="L94" s="197"/>
    </row>
    <row r="95">
      <c r="A95" s="32"/>
      <c r="B95" s="32"/>
      <c r="C95" s="231" t="s">
        <v>232</v>
      </c>
      <c r="D95" s="205"/>
      <c r="E95" s="205"/>
      <c r="F95" s="234"/>
      <c r="G95" s="197"/>
      <c r="H95" s="197"/>
      <c r="I95" s="197"/>
      <c r="J95" s="197"/>
      <c r="K95" s="197"/>
      <c r="L95" s="197"/>
    </row>
    <row r="96">
      <c r="A96" s="32"/>
      <c r="B96" s="32"/>
      <c r="C96" s="231" t="s">
        <v>233</v>
      </c>
      <c r="D96" s="205"/>
      <c r="E96" s="205"/>
      <c r="F96" s="235" t="s">
        <v>234</v>
      </c>
      <c r="G96" s="197"/>
      <c r="H96" s="197"/>
      <c r="I96" s="197"/>
      <c r="J96" s="197"/>
      <c r="K96" s="197"/>
      <c r="L96" s="197"/>
    </row>
    <row r="97">
      <c r="A97" s="32"/>
      <c r="B97" s="32"/>
      <c r="C97" s="231" t="s">
        <v>235</v>
      </c>
      <c r="D97" s="205"/>
      <c r="E97" s="205"/>
      <c r="F97" s="235" t="s">
        <v>236</v>
      </c>
      <c r="G97" s="197"/>
      <c r="H97" s="197"/>
      <c r="I97" s="197"/>
      <c r="J97" s="197"/>
      <c r="K97" s="197"/>
      <c r="L97" s="197"/>
    </row>
    <row r="98">
      <c r="A98" s="32"/>
      <c r="B98" s="32"/>
      <c r="C98" s="231" t="s">
        <v>237</v>
      </c>
      <c r="D98" s="205"/>
      <c r="E98" s="205"/>
      <c r="F98" s="232"/>
      <c r="G98" s="197"/>
      <c r="H98" s="197"/>
      <c r="I98" s="197"/>
      <c r="J98" s="197"/>
      <c r="K98" s="197"/>
      <c r="L98" s="197"/>
    </row>
    <row r="99">
      <c r="A99" s="32"/>
      <c r="B99" s="32"/>
      <c r="C99" s="231" t="s">
        <v>238</v>
      </c>
      <c r="D99" s="205"/>
      <c r="E99" s="205"/>
      <c r="F99" s="213"/>
      <c r="G99" s="197"/>
      <c r="H99" s="197"/>
      <c r="I99" s="197"/>
      <c r="J99" s="197"/>
      <c r="K99" s="197"/>
      <c r="L99" s="197"/>
    </row>
    <row r="100">
      <c r="A100" s="32"/>
      <c r="B100" s="32"/>
      <c r="C100" s="231" t="s">
        <v>239</v>
      </c>
      <c r="D100" s="205"/>
      <c r="E100" s="205"/>
      <c r="F100" s="213"/>
      <c r="G100" s="197"/>
      <c r="H100" s="197"/>
      <c r="I100" s="197"/>
      <c r="J100" s="197"/>
      <c r="K100" s="197"/>
      <c r="L100" s="197"/>
    </row>
    <row r="101">
      <c r="A101" s="32"/>
      <c r="B101" s="32"/>
      <c r="C101" s="231" t="s">
        <v>240</v>
      </c>
      <c r="D101" s="205"/>
      <c r="E101" s="205"/>
      <c r="F101" s="213"/>
      <c r="G101" s="197"/>
      <c r="H101" s="197"/>
      <c r="I101" s="197"/>
      <c r="J101" s="197"/>
      <c r="K101" s="197"/>
      <c r="L101" s="197"/>
    </row>
    <row r="102">
      <c r="A102" s="32"/>
      <c r="B102" s="32"/>
      <c r="C102" s="231" t="s">
        <v>241</v>
      </c>
      <c r="D102" s="205"/>
      <c r="E102" s="205"/>
      <c r="F102" s="213"/>
      <c r="G102" s="197"/>
      <c r="H102" s="197"/>
      <c r="I102" s="197"/>
      <c r="J102" s="197"/>
      <c r="K102" s="197"/>
      <c r="L102" s="197"/>
    </row>
    <row r="103">
      <c r="A103" s="32"/>
      <c r="B103" s="32"/>
      <c r="C103" s="231" t="s">
        <v>242</v>
      </c>
      <c r="D103" s="205"/>
      <c r="E103" s="205"/>
      <c r="F103" s="213"/>
      <c r="G103" s="197"/>
      <c r="H103" s="197"/>
      <c r="I103" s="197"/>
      <c r="J103" s="197"/>
      <c r="K103" s="197"/>
      <c r="L103" s="197"/>
    </row>
    <row r="104">
      <c r="A104" s="32"/>
      <c r="B104" s="37"/>
      <c r="C104" s="231" t="s">
        <v>243</v>
      </c>
      <c r="D104" s="205"/>
      <c r="E104" s="205"/>
      <c r="F104" s="213"/>
      <c r="G104" s="197"/>
      <c r="H104" s="197"/>
      <c r="I104" s="197"/>
      <c r="J104" s="197"/>
      <c r="K104" s="197"/>
      <c r="L104" s="197"/>
    </row>
    <row r="105">
      <c r="A105" s="32"/>
      <c r="B105" s="102" t="s">
        <v>244</v>
      </c>
      <c r="C105" s="106" t="s">
        <v>245</v>
      </c>
      <c r="D105" s="205"/>
      <c r="E105" s="236"/>
      <c r="F105" s="237" t="s">
        <v>319</v>
      </c>
      <c r="G105" s="197"/>
      <c r="H105" s="197"/>
      <c r="I105" s="197"/>
      <c r="J105" s="197"/>
      <c r="K105" s="197"/>
      <c r="L105" s="197"/>
    </row>
    <row r="106">
      <c r="A106" s="32"/>
      <c r="B106" s="32"/>
      <c r="C106" s="123" t="s">
        <v>247</v>
      </c>
      <c r="D106" s="205"/>
      <c r="E106" s="211" t="s">
        <v>248</v>
      </c>
      <c r="F106" s="213" t="s">
        <v>207</v>
      </c>
      <c r="G106" s="197"/>
      <c r="H106" s="197"/>
      <c r="I106" s="197"/>
      <c r="J106" s="197"/>
      <c r="K106" s="197"/>
      <c r="L106" s="197"/>
    </row>
    <row r="107">
      <c r="A107" s="32"/>
      <c r="B107" s="32"/>
      <c r="C107" s="123" t="s">
        <v>249</v>
      </c>
      <c r="D107" s="205"/>
      <c r="E107" s="205"/>
      <c r="F107" s="213" t="s">
        <v>250</v>
      </c>
      <c r="G107" s="197"/>
      <c r="H107" s="197"/>
      <c r="I107" s="197"/>
      <c r="J107" s="197"/>
      <c r="K107" s="197"/>
      <c r="L107" s="197"/>
    </row>
    <row r="108">
      <c r="A108" s="32"/>
      <c r="B108" s="32"/>
      <c r="C108" s="103" t="s">
        <v>251</v>
      </c>
      <c r="D108" s="205"/>
      <c r="E108" s="205"/>
      <c r="F108" s="213" t="s">
        <v>252</v>
      </c>
      <c r="G108" s="197"/>
      <c r="H108" s="197"/>
      <c r="I108" s="197"/>
      <c r="J108" s="197"/>
      <c r="K108" s="197"/>
      <c r="L108" s="197"/>
    </row>
    <row r="109">
      <c r="A109" s="32"/>
      <c r="B109" s="32"/>
      <c r="C109" s="106" t="s">
        <v>253</v>
      </c>
      <c r="D109" s="205"/>
      <c r="E109" s="205"/>
      <c r="F109" s="213" t="s">
        <v>254</v>
      </c>
      <c r="G109" s="197"/>
      <c r="H109" s="197"/>
      <c r="I109" s="197"/>
      <c r="J109" s="197"/>
      <c r="K109" s="197"/>
      <c r="L109" s="197"/>
    </row>
    <row r="110">
      <c r="A110" s="32"/>
      <c r="B110" s="32"/>
      <c r="C110" s="106" t="s">
        <v>255</v>
      </c>
      <c r="D110" s="205"/>
      <c r="E110" s="205"/>
      <c r="F110" s="213" t="s">
        <v>256</v>
      </c>
      <c r="G110" s="197"/>
      <c r="H110" s="197"/>
      <c r="I110" s="197"/>
      <c r="J110" s="197"/>
      <c r="K110" s="197"/>
      <c r="L110" s="197"/>
    </row>
    <row r="111">
      <c r="A111" s="32"/>
      <c r="B111" s="32"/>
      <c r="C111" s="93" t="s">
        <v>257</v>
      </c>
      <c r="D111" s="205"/>
      <c r="E111" s="205"/>
      <c r="F111" s="17"/>
      <c r="G111" s="197"/>
      <c r="H111" s="197"/>
      <c r="I111" s="197"/>
      <c r="J111" s="197"/>
      <c r="K111" s="197"/>
      <c r="L111" s="197"/>
    </row>
    <row r="112">
      <c r="A112" s="32"/>
      <c r="B112" s="32"/>
      <c r="C112" s="93" t="s">
        <v>258</v>
      </c>
      <c r="D112" s="205"/>
      <c r="E112" s="205"/>
      <c r="F112" s="213" t="s">
        <v>259</v>
      </c>
      <c r="G112" s="197"/>
      <c r="H112" s="197"/>
      <c r="I112" s="197"/>
      <c r="J112" s="197"/>
      <c r="K112" s="197"/>
      <c r="L112" s="197"/>
    </row>
    <row r="113">
      <c r="A113" s="32"/>
      <c r="B113" s="32"/>
      <c r="C113" s="238" t="s">
        <v>260</v>
      </c>
      <c r="D113" s="205"/>
      <c r="E113" s="205"/>
      <c r="F113" s="17"/>
      <c r="G113" s="197"/>
      <c r="H113" s="197"/>
      <c r="I113" s="197"/>
      <c r="J113" s="197"/>
      <c r="K113" s="197"/>
      <c r="L113" s="197"/>
    </row>
    <row r="114">
      <c r="A114" s="32"/>
      <c r="B114" s="32"/>
      <c r="C114" s="238" t="s">
        <v>261</v>
      </c>
      <c r="D114" s="205"/>
      <c r="E114" s="205"/>
      <c r="F114" s="239" t="s">
        <v>262</v>
      </c>
      <c r="G114" s="197"/>
      <c r="H114" s="197"/>
      <c r="I114" s="197"/>
      <c r="J114" s="197"/>
      <c r="K114" s="197"/>
      <c r="L114" s="197"/>
    </row>
    <row r="115">
      <c r="A115" s="32"/>
      <c r="B115" s="37"/>
      <c r="C115" s="238" t="s">
        <v>263</v>
      </c>
      <c r="D115" s="205"/>
      <c r="E115" s="205"/>
      <c r="F115" s="17"/>
      <c r="G115" s="197"/>
      <c r="H115" s="197"/>
      <c r="I115" s="197"/>
      <c r="J115" s="197"/>
      <c r="K115" s="197"/>
      <c r="L115" s="197"/>
    </row>
    <row r="116">
      <c r="A116" s="32"/>
      <c r="B116" s="141" t="s">
        <v>264</v>
      </c>
      <c r="C116" s="142" t="s">
        <v>265</v>
      </c>
      <c r="D116" s="228"/>
      <c r="E116" s="211" t="s">
        <v>266</v>
      </c>
      <c r="F116" s="240"/>
      <c r="G116" s="197"/>
      <c r="H116" s="197"/>
      <c r="I116" s="197"/>
      <c r="J116" s="197"/>
      <c r="K116" s="197"/>
      <c r="L116" s="197"/>
    </row>
    <row r="117">
      <c r="A117" s="32"/>
      <c r="B117" s="32"/>
      <c r="C117" s="143" t="s">
        <v>267</v>
      </c>
      <c r="D117" s="229" t="s">
        <v>336</v>
      </c>
      <c r="E117" s="228"/>
      <c r="F117" s="241"/>
      <c r="G117" s="197"/>
      <c r="H117" s="197"/>
      <c r="I117" s="197"/>
      <c r="J117" s="197"/>
      <c r="K117" s="197"/>
      <c r="L117" s="197"/>
    </row>
    <row r="118">
      <c r="A118" s="32"/>
      <c r="B118" s="32"/>
      <c r="C118" s="143" t="s">
        <v>270</v>
      </c>
      <c r="D118" s="205"/>
      <c r="E118" s="210" t="s">
        <v>271</v>
      </c>
      <c r="F118" s="241"/>
      <c r="G118" s="197"/>
      <c r="H118" s="197"/>
      <c r="I118" s="197"/>
      <c r="J118" s="197"/>
      <c r="K118" s="197"/>
      <c r="L118" s="197"/>
    </row>
    <row r="119">
      <c r="A119" s="32"/>
      <c r="B119" s="32"/>
      <c r="C119" s="146" t="s">
        <v>272</v>
      </c>
      <c r="D119" s="205"/>
      <c r="E119" s="228"/>
      <c r="F119" s="242" t="s">
        <v>273</v>
      </c>
      <c r="G119" s="197"/>
      <c r="H119" s="197"/>
      <c r="I119" s="197"/>
      <c r="J119" s="197"/>
      <c r="K119" s="197"/>
      <c r="L119" s="197"/>
    </row>
    <row r="120">
      <c r="A120" s="37"/>
      <c r="B120" s="37"/>
      <c r="C120" s="148" t="s">
        <v>274</v>
      </c>
      <c r="D120" s="205"/>
      <c r="E120" s="228"/>
      <c r="F120" s="241" t="s">
        <v>275</v>
      </c>
      <c r="G120" s="197"/>
      <c r="H120" s="197"/>
      <c r="I120" s="197"/>
      <c r="J120" s="197"/>
      <c r="K120" s="197"/>
      <c r="L120" s="197"/>
    </row>
    <row r="121">
      <c r="A121" s="154"/>
      <c r="B121" s="154">
        <v>121.0</v>
      </c>
      <c r="C121" s="154" t="s">
        <v>369</v>
      </c>
      <c r="D121" s="154"/>
      <c r="E121" s="154"/>
      <c r="F121" s="142" t="s">
        <v>276</v>
      </c>
      <c r="G121" s="200">
        <v>0.0</v>
      </c>
      <c r="H121" s="200">
        <v>6.0</v>
      </c>
      <c r="I121" s="200">
        <v>0.0</v>
      </c>
      <c r="J121" s="200">
        <v>0.0</v>
      </c>
      <c r="K121" s="200">
        <v>0.0</v>
      </c>
      <c r="L121" s="200">
        <v>0.0</v>
      </c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>
      <c r="A126" s="79" t="s">
        <v>370</v>
      </c>
      <c r="B126" s="152"/>
      <c r="C126" s="152"/>
      <c r="D126" s="153"/>
      <c r="E126" s="10"/>
      <c r="F126" s="10"/>
      <c r="G126" s="10"/>
      <c r="H126" s="10"/>
      <c r="I126" s="10"/>
      <c r="J126" s="10"/>
      <c r="K126" s="10"/>
      <c r="L126" s="10"/>
    </row>
    <row r="127">
      <c r="A127" s="154"/>
      <c r="B127" s="155" t="s">
        <v>5</v>
      </c>
      <c r="C127" s="155" t="s">
        <v>277</v>
      </c>
      <c r="D127" s="155" t="s">
        <v>7</v>
      </c>
      <c r="E127" s="10"/>
      <c r="F127" s="10"/>
      <c r="G127" s="10"/>
      <c r="H127" s="10"/>
      <c r="I127" s="10"/>
      <c r="J127" s="10"/>
      <c r="K127" s="10"/>
      <c r="L127" s="10"/>
    </row>
    <row r="128">
      <c r="A128" s="155" t="s">
        <v>278</v>
      </c>
      <c r="B128" s="154">
        <v>0.0</v>
      </c>
      <c r="C128" s="154">
        <v>5.0</v>
      </c>
      <c r="D128" s="154">
        <v>0.0</v>
      </c>
      <c r="E128" s="10"/>
      <c r="F128" s="10"/>
      <c r="G128" s="10"/>
      <c r="H128" s="10"/>
      <c r="I128" s="10"/>
      <c r="J128" s="10"/>
      <c r="K128" s="10"/>
      <c r="L128" s="10"/>
    </row>
    <row r="129">
      <c r="A129" s="155" t="s">
        <v>279</v>
      </c>
      <c r="B129" s="154">
        <v>0.0</v>
      </c>
      <c r="C129" s="154">
        <v>0.0</v>
      </c>
      <c r="D129" s="154">
        <v>0.0</v>
      </c>
      <c r="E129" s="10"/>
      <c r="F129" s="10"/>
      <c r="G129" s="10"/>
      <c r="H129" s="10"/>
      <c r="I129" s="10"/>
      <c r="J129" s="10"/>
      <c r="K129" s="10"/>
      <c r="L129" s="10"/>
    </row>
    <row r="130">
      <c r="A130" s="155" t="s">
        <v>280</v>
      </c>
      <c r="B130" s="154">
        <v>0.0</v>
      </c>
      <c r="C130" s="154">
        <v>0.0</v>
      </c>
      <c r="D130" s="154">
        <v>0.0</v>
      </c>
      <c r="E130" s="10"/>
      <c r="F130" s="10"/>
      <c r="G130" s="10"/>
      <c r="H130" s="10"/>
      <c r="I130" s="10"/>
      <c r="J130" s="10"/>
      <c r="K130" s="10"/>
      <c r="L130" s="10"/>
    </row>
    <row r="131">
      <c r="A131" s="155" t="s">
        <v>281</v>
      </c>
      <c r="B131" s="154">
        <v>0.0</v>
      </c>
      <c r="C131" s="154">
        <v>103.0</v>
      </c>
      <c r="D131" s="154">
        <v>0.0</v>
      </c>
      <c r="E131" s="10"/>
      <c r="F131" s="10"/>
      <c r="G131" s="10"/>
      <c r="H131" s="10"/>
      <c r="I131" s="10"/>
      <c r="J131" s="10"/>
      <c r="K131" s="10"/>
      <c r="L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>
      <c r="A134" s="156" t="s">
        <v>282</v>
      </c>
      <c r="F134" s="10"/>
      <c r="G134" s="10"/>
      <c r="H134" s="10"/>
      <c r="I134" s="10"/>
      <c r="J134" s="10"/>
      <c r="K134" s="10"/>
      <c r="L134" s="10"/>
    </row>
    <row r="135">
      <c r="A135" s="157" t="s">
        <v>8</v>
      </c>
      <c r="B135" s="158"/>
      <c r="C135" s="158"/>
      <c r="D135" s="158"/>
      <c r="E135" s="157" t="s">
        <v>283</v>
      </c>
      <c r="F135" s="10"/>
      <c r="G135" s="10"/>
      <c r="H135" s="10"/>
      <c r="I135" s="10"/>
      <c r="J135" s="10"/>
      <c r="K135" s="10"/>
      <c r="L135" s="10"/>
    </row>
    <row r="136">
      <c r="A136" s="159" t="s">
        <v>284</v>
      </c>
      <c r="B136" s="158"/>
      <c r="C136" s="158"/>
      <c r="D136" s="158"/>
      <c r="E136" s="160" t="s">
        <v>24</v>
      </c>
      <c r="F136" s="10"/>
      <c r="G136" s="10"/>
      <c r="H136" s="10"/>
      <c r="I136" s="10"/>
      <c r="J136" s="10"/>
      <c r="K136" s="10"/>
      <c r="L136" s="10"/>
    </row>
    <row r="137">
      <c r="A137" s="161" t="s">
        <v>285</v>
      </c>
      <c r="B137" s="158"/>
      <c r="C137" s="158"/>
      <c r="D137" s="158"/>
      <c r="E137" s="162" t="s">
        <v>12</v>
      </c>
      <c r="F137" s="10"/>
      <c r="G137" s="10"/>
      <c r="H137" s="10"/>
      <c r="I137" s="10"/>
      <c r="J137" s="10"/>
      <c r="K137" s="10"/>
      <c r="L137" s="10"/>
    </row>
    <row r="138">
      <c r="A138" s="163" t="s">
        <v>286</v>
      </c>
      <c r="B138" s="158"/>
      <c r="C138" s="158"/>
      <c r="D138" s="158"/>
      <c r="E138" s="164" t="s">
        <v>287</v>
      </c>
      <c r="F138" s="10"/>
      <c r="G138" s="10"/>
      <c r="H138" s="10"/>
      <c r="I138" s="10"/>
      <c r="J138" s="10"/>
      <c r="K138" s="10"/>
      <c r="L138" s="10"/>
    </row>
    <row r="139">
      <c r="A139" s="165" t="s">
        <v>288</v>
      </c>
      <c r="B139" s="158"/>
      <c r="C139" s="158"/>
      <c r="D139" s="158"/>
      <c r="E139" s="166" t="s">
        <v>10</v>
      </c>
      <c r="F139" s="10"/>
      <c r="G139" s="10"/>
      <c r="H139" s="10"/>
      <c r="I139" s="10"/>
      <c r="J139" s="10"/>
      <c r="K139" s="10"/>
      <c r="L139" s="10"/>
    </row>
    <row r="140">
      <c r="A140" s="167" t="s">
        <v>289</v>
      </c>
      <c r="B140" s="158"/>
      <c r="C140" s="158"/>
      <c r="D140" s="158"/>
      <c r="E140" s="168" t="s">
        <v>290</v>
      </c>
      <c r="F140" s="10"/>
      <c r="G140" s="10"/>
      <c r="H140" s="10"/>
      <c r="I140" s="10"/>
      <c r="J140" s="10"/>
      <c r="K140" s="10"/>
      <c r="L140" s="10"/>
    </row>
    <row r="141">
      <c r="A141" s="169" t="s">
        <v>291</v>
      </c>
      <c r="B141" s="158"/>
      <c r="C141" s="158"/>
      <c r="D141" s="158"/>
      <c r="E141" s="170" t="s">
        <v>292</v>
      </c>
      <c r="F141" s="10"/>
      <c r="G141" s="10"/>
      <c r="H141" s="10"/>
      <c r="I141" s="10"/>
      <c r="J141" s="10"/>
      <c r="K141" s="10"/>
      <c r="L141" s="10"/>
    </row>
    <row r="142">
      <c r="A142" s="171" t="s">
        <v>293</v>
      </c>
      <c r="B142" s="158"/>
      <c r="C142" s="158"/>
      <c r="D142" s="158"/>
      <c r="E142" s="172" t="s">
        <v>294</v>
      </c>
      <c r="F142" s="10"/>
      <c r="G142" s="10"/>
      <c r="H142" s="10"/>
      <c r="I142" s="10"/>
      <c r="J142" s="10"/>
      <c r="K142" s="10"/>
      <c r="L142" s="10"/>
    </row>
    <row r="143">
      <c r="A143" s="173" t="s">
        <v>295</v>
      </c>
      <c r="B143" s="158"/>
      <c r="C143" s="158"/>
      <c r="D143" s="158"/>
      <c r="E143" s="174" t="s">
        <v>11</v>
      </c>
      <c r="F143" s="10"/>
      <c r="G143" s="10"/>
      <c r="H143" s="10"/>
      <c r="I143" s="10"/>
      <c r="J143" s="10"/>
      <c r="K143" s="10"/>
      <c r="L143" s="10"/>
    </row>
    <row r="144">
      <c r="A144" s="175" t="s">
        <v>296</v>
      </c>
      <c r="B144" s="158"/>
      <c r="C144" s="158"/>
      <c r="D144" s="158"/>
      <c r="E144" s="176" t="s">
        <v>12</v>
      </c>
      <c r="F144" s="10"/>
      <c r="G144" s="10"/>
      <c r="H144" s="10"/>
      <c r="I144" s="10"/>
      <c r="J144" s="10"/>
      <c r="K144" s="10"/>
      <c r="L144" s="10"/>
    </row>
    <row r="145">
      <c r="A145" s="177" t="s">
        <v>297</v>
      </c>
      <c r="B145" s="158"/>
      <c r="C145" s="158"/>
      <c r="D145" s="158"/>
      <c r="E145" s="158"/>
      <c r="F145" s="10"/>
      <c r="G145" s="10"/>
      <c r="H145" s="10"/>
      <c r="I145" s="10"/>
      <c r="J145" s="10"/>
      <c r="K145" s="10"/>
      <c r="L145" s="10"/>
    </row>
    <row r="146">
      <c r="A146" s="178" t="s">
        <v>298</v>
      </c>
      <c r="B146" s="158"/>
      <c r="C146" s="158"/>
      <c r="D146" s="158"/>
      <c r="E146" s="158"/>
      <c r="F146" s="10"/>
      <c r="G146" s="10"/>
      <c r="H146" s="10"/>
      <c r="I146" s="10"/>
      <c r="J146" s="10"/>
      <c r="K146" s="10"/>
      <c r="L146" s="10"/>
    </row>
    <row r="147">
      <c r="A147" s="179" t="s">
        <v>299</v>
      </c>
      <c r="B147" s="158"/>
      <c r="C147" s="158"/>
      <c r="D147" s="158"/>
      <c r="E147" s="158"/>
      <c r="F147" s="10"/>
      <c r="G147" s="10"/>
      <c r="H147" s="10"/>
      <c r="I147" s="10"/>
      <c r="J147" s="10"/>
      <c r="K147" s="10"/>
      <c r="L147" s="10"/>
    </row>
    <row r="148">
      <c r="A148" s="180" t="s">
        <v>300</v>
      </c>
      <c r="B148" s="158"/>
      <c r="C148" s="158"/>
      <c r="D148" s="158"/>
      <c r="E148" s="158"/>
      <c r="F148" s="10"/>
      <c r="G148" s="10"/>
      <c r="H148" s="10"/>
      <c r="I148" s="10"/>
      <c r="J148" s="10"/>
      <c r="K148" s="10"/>
      <c r="L148" s="10"/>
    </row>
    <row r="149">
      <c r="A149" s="181" t="s">
        <v>301</v>
      </c>
      <c r="B149" s="158"/>
      <c r="C149" s="158"/>
      <c r="D149" s="158"/>
      <c r="E149" s="158"/>
      <c r="F149" s="10"/>
      <c r="G149" s="10"/>
      <c r="H149" s="10"/>
      <c r="I149" s="10"/>
      <c r="J149" s="10"/>
      <c r="K149" s="10"/>
      <c r="L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</sheetData>
  <mergeCells count="17">
    <mergeCell ref="B43:B57"/>
    <mergeCell ref="B58:B61"/>
    <mergeCell ref="B62:B81"/>
    <mergeCell ref="B82:B86"/>
    <mergeCell ref="B87:B90"/>
    <mergeCell ref="B91:B104"/>
    <mergeCell ref="B105:B115"/>
    <mergeCell ref="B116:B120"/>
    <mergeCell ref="A126:D126"/>
    <mergeCell ref="A134:E134"/>
    <mergeCell ref="G1:I1"/>
    <mergeCell ref="J1:L1"/>
    <mergeCell ref="A6:A25"/>
    <mergeCell ref="B6:B22"/>
    <mergeCell ref="B23:B25"/>
    <mergeCell ref="A26:A120"/>
    <mergeCell ref="B26:B42"/>
  </mergeCells>
  <conditionalFormatting sqref="H6:L120">
    <cfRule type="cellIs" dxfId="16" priority="1" operator="equal">
      <formula>"OK"</formula>
    </cfRule>
  </conditionalFormatting>
  <conditionalFormatting sqref="B3:D3 G4:L4">
    <cfRule type="cellIs" dxfId="14" priority="2" stopIfTrue="1" operator="equal">
      <formula>"Anu"</formula>
    </cfRule>
  </conditionalFormatting>
  <conditionalFormatting sqref="B3:D3 G4:L4">
    <cfRule type="cellIs" dxfId="0" priority="3" stopIfTrue="1" operator="equal">
      <formula>"Amrita"</formula>
    </cfRule>
  </conditionalFormatting>
  <conditionalFormatting sqref="B3:D3 G4:L4">
    <cfRule type="cellIs" dxfId="1" priority="4" stopIfTrue="1" operator="equal">
      <formula>"Soumya"</formula>
    </cfRule>
  </conditionalFormatting>
  <conditionalFormatting sqref="B3:D3 G4:L4">
    <cfRule type="cellIs" dxfId="2" priority="5" stopIfTrue="1" operator="equal">
      <formula>"Hannah"</formula>
    </cfRule>
  </conditionalFormatting>
  <conditionalFormatting sqref="B3:D3 G4:L4">
    <cfRule type="cellIs" dxfId="3" priority="6" stopIfTrue="1" operator="equal">
      <formula>"Naga Lakshmi"</formula>
    </cfRule>
  </conditionalFormatting>
  <conditionalFormatting sqref="B3:D3 G4:L4">
    <cfRule type="cellIs" dxfId="4" priority="7" stopIfTrue="1" operator="equal">
      <formula>"Aditya"</formula>
    </cfRule>
  </conditionalFormatting>
  <conditionalFormatting sqref="B3:D3 G4:L4">
    <cfRule type="cellIs" dxfId="15" priority="8" stopIfTrue="1" operator="equal">
      <formula>"Pankhuri"</formula>
    </cfRule>
  </conditionalFormatting>
  <conditionalFormatting sqref="B3:D3 G4:L4">
    <cfRule type="cellIs" dxfId="5" priority="9" stopIfTrue="1" operator="equal">
      <formula>"Sakshi"</formula>
    </cfRule>
  </conditionalFormatting>
  <conditionalFormatting sqref="B3:D3 G4:L4">
    <cfRule type="cellIs" dxfId="6" priority="10" stopIfTrue="1" operator="equal">
      <formula>"Abdul"</formula>
    </cfRule>
  </conditionalFormatting>
  <conditionalFormatting sqref="B3:D3 G4:L4">
    <cfRule type="cellIs" dxfId="7" priority="11" stopIfTrue="1" operator="equal">
      <formula>"Sourabh"</formula>
    </cfRule>
  </conditionalFormatting>
  <conditionalFormatting sqref="B3:D3 G4:L4">
    <cfRule type="cellIs" dxfId="8" priority="12" stopIfTrue="1" operator="equal">
      <formula>"Prachi"</formula>
    </cfRule>
  </conditionalFormatting>
  <conditionalFormatting sqref="B3:D3 G4:L4">
    <cfRule type="cellIs" dxfId="9" priority="13" stopIfTrue="1" operator="equal">
      <formula>"Vishnu"</formula>
    </cfRule>
  </conditionalFormatting>
  <conditionalFormatting sqref="B3:D3 G4:L4">
    <cfRule type="cellIs" dxfId="10" priority="14" stopIfTrue="1" operator="equal">
      <formula>"Ivy"</formula>
    </cfRule>
  </conditionalFormatting>
  <conditionalFormatting sqref="B3:D3 G4:L4">
    <cfRule type="cellIs" dxfId="11" priority="15" stopIfTrue="1" operator="equal">
      <formula>"Rupal"</formula>
    </cfRule>
  </conditionalFormatting>
  <conditionalFormatting sqref="B3:D3 G4:L4">
    <cfRule type="cellIs" dxfId="25" priority="16" stopIfTrue="1" operator="equal">
      <formula>"Utkarsh"</formula>
    </cfRule>
  </conditionalFormatting>
  <conditionalFormatting sqref="B3:D3 G4:L4">
    <cfRule type="cellIs" dxfId="12" priority="17" stopIfTrue="1" operator="equal">
      <formula>"Soumyajit"</formula>
    </cfRule>
  </conditionalFormatting>
  <conditionalFormatting sqref="B3:D3 G4:L4">
    <cfRule type="cellIs" dxfId="13" priority="18" stopIfTrue="1" operator="equal">
      <formula>"Propali"</formula>
    </cfRule>
  </conditionalFormatting>
  <conditionalFormatting sqref="G6:L120">
    <cfRule type="cellIs" dxfId="16" priority="19" stopIfTrue="1" operator="equal">
      <formula>"OK"</formula>
    </cfRule>
  </conditionalFormatting>
  <conditionalFormatting sqref="B3:D3 G4:L4 G6:L120">
    <cfRule type="cellIs" dxfId="18" priority="20" stopIfTrue="1" operator="equal">
      <formula>"Not Tested"</formula>
    </cfRule>
  </conditionalFormatting>
  <conditionalFormatting sqref="G6:L120">
    <cfRule type="cellIs" dxfId="19" priority="21" stopIfTrue="1" operator="equal">
      <formula>"N/A"</formula>
    </cfRule>
  </conditionalFormatting>
  <conditionalFormatting sqref="B2:D2 G3:L3">
    <cfRule type="containsText" dxfId="20" priority="22" stopIfTrue="1" operator="containsText" text="Incomplete">
      <formula>NOT(ISERROR(SEARCH(("Incomplete"),(B2))))</formula>
    </cfRule>
  </conditionalFormatting>
  <conditionalFormatting sqref="B2:D2 G3:L3">
    <cfRule type="containsText" dxfId="17" priority="23" stopIfTrue="1" operator="containsText" text="Broken">
      <formula>NOT(ISERROR(SEARCH(("Broken"),(B2))))</formula>
    </cfRule>
  </conditionalFormatting>
  <conditionalFormatting sqref="B2:D2 G3:L3">
    <cfRule type="containsText" dxfId="21" priority="24" stopIfTrue="1" operator="containsText" text="Some problems">
      <formula>NOT(ISERROR(SEARCH(("Some problems"),(B2))))</formula>
    </cfRule>
  </conditionalFormatting>
  <conditionalFormatting sqref="B2:D2 G3:L3">
    <cfRule type="containsText" dxfId="22" priority="25" stopIfTrue="1" operator="containsText" text="All OK">
      <formula>NOT(ISERROR(SEARCH(("All OK"),(B2))))</formula>
    </cfRule>
  </conditionalFormatting>
  <conditionalFormatting sqref="B2:D2 G3:L3">
    <cfRule type="containsText" dxfId="23" priority="26" stopIfTrue="1" operator="containsText" text="In Progress">
      <formula>NOT(ISERROR(SEARCH(("In Progress"),(B2))))</formula>
    </cfRule>
  </conditionalFormatting>
  <conditionalFormatting sqref="B2:D2 G3:L3">
    <cfRule type="containsText" dxfId="24" priority="27" stopIfTrue="1" operator="containsText" text="Not Tested">
      <formula>NOT(ISERROR(SEARCH(("Not Tested"),(B2))))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</cols>
  <sheetData>
    <row r="1">
      <c r="A1" s="1" t="s">
        <v>371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371</v>
      </c>
      <c r="H1" s="6"/>
      <c r="I1" s="7"/>
      <c r="J1" s="5" t="s">
        <v>372</v>
      </c>
      <c r="K1" s="6"/>
      <c r="L1" s="7"/>
    </row>
    <row r="2">
      <c r="A2" s="8"/>
      <c r="B2" s="9" t="s">
        <v>10</v>
      </c>
      <c r="C2" s="9" t="s">
        <v>373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</row>
    <row r="3">
      <c r="A3" s="13" t="s">
        <v>8</v>
      </c>
      <c r="B3" s="9" t="s">
        <v>12</v>
      </c>
      <c r="C3" s="9" t="s">
        <v>301</v>
      </c>
      <c r="D3" s="9" t="s">
        <v>12</v>
      </c>
      <c r="E3" s="10"/>
      <c r="F3" s="14" t="s">
        <v>9</v>
      </c>
      <c r="G3" s="15" t="s">
        <v>10</v>
      </c>
      <c r="H3" s="15" t="s">
        <v>292</v>
      </c>
      <c r="I3" s="15" t="s">
        <v>10</v>
      </c>
      <c r="J3" s="15" t="s">
        <v>10</v>
      </c>
      <c r="K3" s="15" t="s">
        <v>10</v>
      </c>
      <c r="L3" s="15" t="s">
        <v>292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301</v>
      </c>
      <c r="I4" s="15" t="s">
        <v>12</v>
      </c>
      <c r="J4" s="15" t="s">
        <v>12</v>
      </c>
      <c r="K4" s="15" t="s">
        <v>12</v>
      </c>
      <c r="L4" s="15" t="s">
        <v>301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</row>
    <row r="6">
      <c r="A6" s="203" t="s">
        <v>342</v>
      </c>
      <c r="B6" s="115" t="s">
        <v>109</v>
      </c>
      <c r="C6" s="204" t="s">
        <v>343</v>
      </c>
      <c r="D6" s="205"/>
      <c r="E6" s="206"/>
      <c r="F6" s="17"/>
      <c r="G6" s="29"/>
      <c r="H6" s="29" t="s">
        <v>24</v>
      </c>
      <c r="I6" s="29"/>
      <c r="J6" s="29"/>
      <c r="K6" s="29"/>
      <c r="L6" s="29" t="s">
        <v>24</v>
      </c>
    </row>
    <row r="7">
      <c r="A7" s="32"/>
      <c r="B7" s="32"/>
      <c r="C7" s="142" t="s">
        <v>344</v>
      </c>
      <c r="D7" s="205"/>
      <c r="E7" s="207" t="s">
        <v>96</v>
      </c>
      <c r="F7" s="208" t="s">
        <v>311</v>
      </c>
      <c r="G7" s="29"/>
      <c r="H7" s="29" t="s">
        <v>24</v>
      </c>
      <c r="I7" s="29"/>
      <c r="J7" s="29"/>
      <c r="K7" s="29"/>
      <c r="L7" s="29" t="s">
        <v>24</v>
      </c>
    </row>
    <row r="8">
      <c r="A8" s="32"/>
      <c r="B8" s="32"/>
      <c r="C8" s="91" t="s">
        <v>345</v>
      </c>
      <c r="D8" s="205"/>
      <c r="E8" s="209" t="s">
        <v>346</v>
      </c>
      <c r="F8" s="17"/>
      <c r="G8" s="29"/>
      <c r="H8" s="29" t="s">
        <v>24</v>
      </c>
      <c r="I8" s="29"/>
      <c r="J8" s="29"/>
      <c r="K8" s="29"/>
      <c r="L8" s="29" t="s">
        <v>24</v>
      </c>
    </row>
    <row r="9">
      <c r="A9" s="32"/>
      <c r="B9" s="32"/>
      <c r="C9" s="91" t="s">
        <v>347</v>
      </c>
      <c r="D9" s="205"/>
      <c r="E9" s="210" t="s">
        <v>308</v>
      </c>
      <c r="F9" s="17"/>
      <c r="G9" s="29"/>
      <c r="H9" s="29" t="s">
        <v>24</v>
      </c>
      <c r="I9" s="29"/>
      <c r="J9" s="29"/>
      <c r="K9" s="29"/>
      <c r="L9" s="29" t="s">
        <v>24</v>
      </c>
    </row>
    <row r="10">
      <c r="A10" s="32"/>
      <c r="B10" s="32"/>
      <c r="C10" s="87" t="s">
        <v>348</v>
      </c>
      <c r="D10" s="205"/>
      <c r="E10" s="211" t="s">
        <v>77</v>
      </c>
      <c r="F10" s="17"/>
      <c r="G10" s="29"/>
      <c r="H10" s="29" t="s">
        <v>24</v>
      </c>
      <c r="I10" s="29"/>
      <c r="J10" s="29"/>
      <c r="K10" s="29"/>
      <c r="L10" s="29" t="s">
        <v>24</v>
      </c>
    </row>
    <row r="11">
      <c r="A11" s="32"/>
      <c r="B11" s="32"/>
      <c r="C11" s="87" t="s">
        <v>349</v>
      </c>
      <c r="D11" s="205"/>
      <c r="E11" s="211" t="s">
        <v>100</v>
      </c>
      <c r="F11" s="212" t="s">
        <v>101</v>
      </c>
      <c r="G11" s="29"/>
      <c r="H11" s="29" t="s">
        <v>24</v>
      </c>
      <c r="I11" s="29"/>
      <c r="J11" s="29"/>
      <c r="K11" s="29"/>
      <c r="L11" s="29" t="s">
        <v>24</v>
      </c>
    </row>
    <row r="12">
      <c r="A12" s="32"/>
      <c r="B12" s="32"/>
      <c r="C12" s="87" t="s">
        <v>350</v>
      </c>
      <c r="D12" s="205"/>
      <c r="E12" s="211" t="s">
        <v>62</v>
      </c>
      <c r="F12" s="212" t="s">
        <v>351</v>
      </c>
      <c r="G12" s="196"/>
      <c r="H12" s="196" t="s">
        <v>374</v>
      </c>
      <c r="I12" s="196"/>
      <c r="J12" s="196"/>
      <c r="K12" s="196"/>
      <c r="L12" s="196" t="s">
        <v>374</v>
      </c>
    </row>
    <row r="13">
      <c r="A13" s="32"/>
      <c r="B13" s="32"/>
      <c r="C13" s="87" t="s">
        <v>352</v>
      </c>
      <c r="D13" s="205"/>
      <c r="E13" s="205"/>
      <c r="F13" s="213"/>
      <c r="G13" s="197"/>
      <c r="H13" s="197" t="s">
        <v>24</v>
      </c>
      <c r="I13" s="197"/>
      <c r="J13" s="197"/>
      <c r="K13" s="197"/>
      <c r="L13" s="197" t="s">
        <v>24</v>
      </c>
    </row>
    <row r="14">
      <c r="A14" s="32"/>
      <c r="B14" s="32"/>
      <c r="C14" s="87" t="s">
        <v>353</v>
      </c>
      <c r="D14" s="205"/>
      <c r="E14" s="205"/>
      <c r="F14" s="213"/>
      <c r="G14" s="197"/>
      <c r="H14" s="197" t="s">
        <v>24</v>
      </c>
      <c r="I14" s="197"/>
      <c r="J14" s="197"/>
      <c r="K14" s="197"/>
      <c r="L14" s="197" t="s">
        <v>24</v>
      </c>
    </row>
    <row r="15">
      <c r="A15" s="32"/>
      <c r="B15" s="32"/>
      <c r="C15" s="77" t="s">
        <v>354</v>
      </c>
      <c r="D15" s="205"/>
      <c r="E15" s="205"/>
      <c r="F15" s="213" t="s">
        <v>83</v>
      </c>
      <c r="G15" s="197"/>
      <c r="H15" s="197" t="s">
        <v>24</v>
      </c>
      <c r="I15" s="197"/>
      <c r="J15" s="197"/>
      <c r="K15" s="197"/>
      <c r="L15" s="197" t="s">
        <v>24</v>
      </c>
    </row>
    <row r="16">
      <c r="A16" s="32"/>
      <c r="B16" s="32"/>
      <c r="C16" s="214" t="s">
        <v>355</v>
      </c>
      <c r="D16" s="205"/>
      <c r="E16" s="211" t="s">
        <v>34</v>
      </c>
      <c r="F16" s="17"/>
      <c r="G16" s="197"/>
      <c r="H16" s="197" t="s">
        <v>24</v>
      </c>
      <c r="I16" s="197"/>
      <c r="J16" s="197"/>
      <c r="K16" s="197"/>
      <c r="L16" s="197" t="s">
        <v>24</v>
      </c>
    </row>
    <row r="17">
      <c r="A17" s="32"/>
      <c r="B17" s="32"/>
      <c r="C17" s="87" t="s">
        <v>356</v>
      </c>
      <c r="D17" s="205"/>
      <c r="E17" s="215"/>
      <c r="F17" s="17"/>
      <c r="G17" s="197"/>
      <c r="H17" s="197" t="s">
        <v>24</v>
      </c>
      <c r="I17" s="197"/>
      <c r="J17" s="197"/>
      <c r="K17" s="197"/>
      <c r="L17" s="197" t="s">
        <v>24</v>
      </c>
    </row>
    <row r="18">
      <c r="A18" s="32"/>
      <c r="B18" s="32"/>
      <c r="C18" s="77" t="s">
        <v>357</v>
      </c>
      <c r="D18" s="205"/>
      <c r="E18" s="211" t="s">
        <v>34</v>
      </c>
      <c r="F18" s="17"/>
      <c r="G18" s="197"/>
      <c r="H18" s="197" t="s">
        <v>24</v>
      </c>
      <c r="I18" s="197"/>
      <c r="J18" s="197"/>
      <c r="K18" s="197"/>
      <c r="L18" s="197" t="s">
        <v>24</v>
      </c>
    </row>
    <row r="19">
      <c r="A19" s="32"/>
      <c r="B19" s="32"/>
      <c r="C19" s="87" t="s">
        <v>358</v>
      </c>
      <c r="D19" s="205"/>
      <c r="E19" s="215"/>
      <c r="F19" s="212" t="s">
        <v>38</v>
      </c>
      <c r="G19" s="197"/>
      <c r="H19" s="197" t="s">
        <v>24</v>
      </c>
      <c r="I19" s="197"/>
      <c r="J19" s="197"/>
      <c r="K19" s="197"/>
      <c r="L19" s="197" t="s">
        <v>24</v>
      </c>
    </row>
    <row r="20">
      <c r="A20" s="32"/>
      <c r="B20" s="32"/>
      <c r="C20" s="129" t="s">
        <v>359</v>
      </c>
      <c r="D20" s="205"/>
      <c r="E20" s="215"/>
      <c r="F20" s="212" t="s">
        <v>38</v>
      </c>
      <c r="G20" s="197"/>
      <c r="H20" s="197" t="s">
        <v>24</v>
      </c>
      <c r="I20" s="197"/>
      <c r="J20" s="197"/>
      <c r="K20" s="197"/>
      <c r="L20" s="197" t="s">
        <v>24</v>
      </c>
    </row>
    <row r="21">
      <c r="A21" s="32"/>
      <c r="B21" s="32"/>
      <c r="C21" s="87" t="s">
        <v>360</v>
      </c>
      <c r="D21" s="205"/>
      <c r="E21" s="215"/>
      <c r="F21" s="212" t="s">
        <v>38</v>
      </c>
      <c r="G21" s="197"/>
      <c r="H21" s="197" t="s">
        <v>24</v>
      </c>
      <c r="I21" s="197"/>
      <c r="J21" s="197"/>
      <c r="K21" s="197"/>
      <c r="L21" s="197" t="s">
        <v>24</v>
      </c>
    </row>
    <row r="22">
      <c r="A22" s="32"/>
      <c r="B22" s="37"/>
      <c r="C22" s="87" t="s">
        <v>361</v>
      </c>
      <c r="D22" s="205"/>
      <c r="E22" s="211" t="s">
        <v>100</v>
      </c>
      <c r="F22" s="213" t="s">
        <v>103</v>
      </c>
      <c r="G22" s="196"/>
      <c r="H22" s="196" t="s">
        <v>24</v>
      </c>
      <c r="I22" s="196"/>
      <c r="J22" s="196"/>
      <c r="K22" s="196"/>
      <c r="L22" s="196" t="s">
        <v>24</v>
      </c>
    </row>
    <row r="23">
      <c r="A23" s="32"/>
      <c r="B23" s="216" t="s">
        <v>362</v>
      </c>
      <c r="C23" s="204" t="s">
        <v>363</v>
      </c>
      <c r="D23" s="205"/>
      <c r="E23" s="205"/>
      <c r="F23" s="213" t="s">
        <v>364</v>
      </c>
      <c r="G23" s="197"/>
      <c r="H23" s="197" t="s">
        <v>24</v>
      </c>
      <c r="I23" s="197"/>
      <c r="J23" s="197"/>
      <c r="K23" s="197"/>
      <c r="L23" s="197" t="s">
        <v>24</v>
      </c>
    </row>
    <row r="24">
      <c r="A24" s="32"/>
      <c r="B24" s="32"/>
      <c r="C24" s="204" t="s">
        <v>365</v>
      </c>
      <c r="D24" s="205"/>
      <c r="E24" s="205"/>
      <c r="F24" s="212" t="s">
        <v>105</v>
      </c>
      <c r="G24" s="197"/>
      <c r="H24" s="197" t="s">
        <v>24</v>
      </c>
      <c r="I24" s="197"/>
      <c r="J24" s="197"/>
      <c r="K24" s="197"/>
      <c r="L24" s="197" t="s">
        <v>24</v>
      </c>
    </row>
    <row r="25">
      <c r="A25" s="32"/>
      <c r="B25" s="37"/>
      <c r="C25" s="217" t="s">
        <v>366</v>
      </c>
      <c r="D25" s="205"/>
      <c r="E25" s="205"/>
      <c r="F25" s="212" t="s">
        <v>107</v>
      </c>
      <c r="G25" s="197"/>
      <c r="H25" s="197" t="s">
        <v>24</v>
      </c>
      <c r="I25" s="197"/>
      <c r="J25" s="197"/>
      <c r="K25" s="197"/>
      <c r="L25" s="197" t="s">
        <v>24</v>
      </c>
    </row>
    <row r="26">
      <c r="A26" s="203" t="s">
        <v>108</v>
      </c>
      <c r="B26" s="102" t="s">
        <v>109</v>
      </c>
      <c r="C26" s="77" t="s">
        <v>110</v>
      </c>
      <c r="D26" s="205"/>
      <c r="E26" s="205"/>
      <c r="F26" s="17"/>
      <c r="G26" s="197"/>
      <c r="H26" s="197" t="s">
        <v>24</v>
      </c>
      <c r="I26" s="197"/>
      <c r="J26" s="197"/>
      <c r="K26" s="197"/>
      <c r="L26" s="197" t="s">
        <v>24</v>
      </c>
    </row>
    <row r="27">
      <c r="A27" s="32"/>
      <c r="B27" s="32"/>
      <c r="C27" s="77" t="s">
        <v>112</v>
      </c>
      <c r="D27" s="205"/>
      <c r="E27" s="205"/>
      <c r="F27" s="17"/>
      <c r="G27" s="197"/>
      <c r="H27" s="197" t="s">
        <v>24</v>
      </c>
      <c r="I27" s="197"/>
      <c r="J27" s="197"/>
      <c r="K27" s="197"/>
      <c r="L27" s="197" t="s">
        <v>24</v>
      </c>
    </row>
    <row r="28">
      <c r="A28" s="32"/>
      <c r="B28" s="32"/>
      <c r="C28" s="80" t="s">
        <v>367</v>
      </c>
      <c r="D28" s="205"/>
      <c r="E28" s="206"/>
      <c r="F28" s="212" t="s">
        <v>38</v>
      </c>
      <c r="G28" s="197"/>
      <c r="H28" s="197" t="s">
        <v>24</v>
      </c>
      <c r="I28" s="197"/>
      <c r="J28" s="197"/>
      <c r="K28" s="197"/>
      <c r="L28" s="197" t="s">
        <v>24</v>
      </c>
    </row>
    <row r="29">
      <c r="A29" s="32"/>
      <c r="B29" s="32"/>
      <c r="C29" s="83" t="s">
        <v>114</v>
      </c>
      <c r="D29" s="205"/>
      <c r="E29" s="218" t="s">
        <v>115</v>
      </c>
      <c r="F29" s="17"/>
      <c r="G29" s="197"/>
      <c r="H29" s="197" t="s">
        <v>24</v>
      </c>
      <c r="I29" s="197"/>
      <c r="J29" s="197"/>
      <c r="K29" s="197"/>
      <c r="L29" s="197" t="s">
        <v>24</v>
      </c>
    </row>
    <row r="30">
      <c r="A30" s="32"/>
      <c r="B30" s="32"/>
      <c r="C30" s="85" t="s">
        <v>116</v>
      </c>
      <c r="D30" s="205"/>
      <c r="E30" s="205"/>
      <c r="F30" s="213" t="s">
        <v>117</v>
      </c>
      <c r="G30" s="197"/>
      <c r="H30" s="197" t="s">
        <v>24</v>
      </c>
      <c r="I30" s="197"/>
      <c r="J30" s="197"/>
      <c r="K30" s="197"/>
      <c r="L30" s="197" t="s">
        <v>24</v>
      </c>
    </row>
    <row r="31">
      <c r="A31" s="32"/>
      <c r="B31" s="32"/>
      <c r="C31" s="87" t="s">
        <v>118</v>
      </c>
      <c r="D31" s="205"/>
      <c r="E31" s="209" t="s">
        <v>312</v>
      </c>
      <c r="F31" s="213"/>
      <c r="G31" s="197"/>
      <c r="H31" s="197" t="s">
        <v>24</v>
      </c>
      <c r="I31" s="197"/>
      <c r="J31" s="197"/>
      <c r="K31" s="197"/>
      <c r="L31" s="197" t="s">
        <v>24</v>
      </c>
    </row>
    <row r="32">
      <c r="A32" s="32"/>
      <c r="B32" s="32"/>
      <c r="C32" s="90" t="s">
        <v>120</v>
      </c>
      <c r="D32" s="205"/>
      <c r="E32" s="218" t="s">
        <v>121</v>
      </c>
      <c r="F32" s="213" t="s">
        <v>122</v>
      </c>
      <c r="G32" s="197"/>
      <c r="H32" s="197" t="s">
        <v>24</v>
      </c>
      <c r="I32" s="197"/>
      <c r="J32" s="197"/>
      <c r="K32" s="197"/>
      <c r="L32" s="197" t="s">
        <v>24</v>
      </c>
    </row>
    <row r="33">
      <c r="A33" s="32"/>
      <c r="B33" s="32"/>
      <c r="C33" s="91" t="s">
        <v>123</v>
      </c>
      <c r="D33" s="205"/>
      <c r="E33" s="205"/>
      <c r="F33" s="213" t="s">
        <v>124</v>
      </c>
      <c r="G33" s="197"/>
      <c r="H33" s="197" t="s">
        <v>24</v>
      </c>
      <c r="I33" s="197"/>
      <c r="J33" s="197"/>
      <c r="K33" s="197"/>
      <c r="L33" s="197" t="s">
        <v>24</v>
      </c>
    </row>
    <row r="34">
      <c r="A34" s="32"/>
      <c r="B34" s="32"/>
      <c r="C34" s="92" t="s">
        <v>125</v>
      </c>
      <c r="D34" s="205"/>
      <c r="E34" s="205"/>
      <c r="F34" s="213" t="s">
        <v>126</v>
      </c>
      <c r="G34" s="197"/>
      <c r="H34" s="197" t="s">
        <v>24</v>
      </c>
      <c r="I34" s="197"/>
      <c r="J34" s="197"/>
      <c r="K34" s="197"/>
      <c r="L34" s="197" t="s">
        <v>24</v>
      </c>
    </row>
    <row r="35">
      <c r="A35" s="32"/>
      <c r="B35" s="32"/>
      <c r="C35" s="77" t="s">
        <v>127</v>
      </c>
      <c r="D35" s="205"/>
      <c r="E35" s="205"/>
      <c r="F35" s="213" t="s">
        <v>128</v>
      </c>
      <c r="G35" s="197"/>
      <c r="H35" s="197" t="s">
        <v>24</v>
      </c>
      <c r="I35" s="197"/>
      <c r="J35" s="197"/>
      <c r="K35" s="197"/>
      <c r="L35" s="197" t="s">
        <v>24</v>
      </c>
    </row>
    <row r="36">
      <c r="A36" s="32"/>
      <c r="B36" s="32"/>
      <c r="C36" s="93" t="s">
        <v>129</v>
      </c>
      <c r="D36" s="205"/>
      <c r="E36" s="219" t="s">
        <v>313</v>
      </c>
      <c r="F36" s="17"/>
      <c r="G36" s="197"/>
      <c r="H36" s="197" t="s">
        <v>24</v>
      </c>
      <c r="I36" s="197"/>
      <c r="J36" s="197"/>
      <c r="K36" s="197"/>
      <c r="L36" s="197" t="s">
        <v>24</v>
      </c>
    </row>
    <row r="37">
      <c r="A37" s="32"/>
      <c r="B37" s="32"/>
      <c r="C37" s="92" t="s">
        <v>368</v>
      </c>
      <c r="D37" s="205"/>
      <c r="E37" s="205"/>
      <c r="F37" s="17"/>
      <c r="G37" s="197"/>
      <c r="H37" s="197" t="s">
        <v>24</v>
      </c>
      <c r="I37" s="197"/>
      <c r="J37" s="197"/>
      <c r="K37" s="197"/>
      <c r="L37" s="197" t="s">
        <v>24</v>
      </c>
    </row>
    <row r="38">
      <c r="A38" s="32"/>
      <c r="B38" s="32"/>
      <c r="C38" s="96" t="s">
        <v>132</v>
      </c>
      <c r="D38" s="205"/>
      <c r="E38" s="205"/>
      <c r="F38" s="220" t="s">
        <v>133</v>
      </c>
      <c r="G38" s="196"/>
      <c r="H38" s="196" t="s">
        <v>375</v>
      </c>
      <c r="I38" s="196"/>
      <c r="J38" s="196"/>
      <c r="K38" s="196"/>
      <c r="L38" s="196" t="s">
        <v>375</v>
      </c>
    </row>
    <row r="39">
      <c r="A39" s="32"/>
      <c r="B39" s="32"/>
      <c r="C39" s="98" t="s">
        <v>134</v>
      </c>
      <c r="D39" s="205"/>
      <c r="E39" s="211" t="s">
        <v>135</v>
      </c>
      <c r="F39" s="221" t="s">
        <v>136</v>
      </c>
      <c r="G39" s="199"/>
      <c r="H39" s="199" t="s">
        <v>24</v>
      </c>
      <c r="I39" s="199"/>
      <c r="J39" s="199"/>
      <c r="K39" s="199"/>
      <c r="L39" s="199" t="s">
        <v>24</v>
      </c>
    </row>
    <row r="40">
      <c r="A40" s="32"/>
      <c r="B40" s="32"/>
      <c r="C40" s="92" t="s">
        <v>137</v>
      </c>
      <c r="D40" s="205"/>
      <c r="E40" s="205"/>
      <c r="F40" s="17"/>
      <c r="G40" s="199"/>
      <c r="H40" s="199" t="s">
        <v>24</v>
      </c>
      <c r="I40" s="199"/>
      <c r="J40" s="199"/>
      <c r="K40" s="199"/>
      <c r="L40" s="199" t="s">
        <v>24</v>
      </c>
    </row>
    <row r="41">
      <c r="A41" s="32"/>
      <c r="B41" s="32"/>
      <c r="C41" s="92" t="s">
        <v>138</v>
      </c>
      <c r="D41" s="205"/>
      <c r="E41" s="205"/>
      <c r="F41" s="17"/>
      <c r="G41" s="199"/>
      <c r="H41" s="199" t="s">
        <v>24</v>
      </c>
      <c r="I41" s="199"/>
      <c r="J41" s="199"/>
      <c r="K41" s="199"/>
      <c r="L41" s="199" t="s">
        <v>24</v>
      </c>
    </row>
    <row r="42">
      <c r="A42" s="32"/>
      <c r="B42" s="37"/>
      <c r="C42" s="101" t="s">
        <v>139</v>
      </c>
      <c r="D42" s="205"/>
      <c r="E42" s="205"/>
      <c r="F42" s="17"/>
      <c r="G42" s="199"/>
      <c r="H42" s="199" t="s">
        <v>24</v>
      </c>
      <c r="I42" s="199"/>
      <c r="J42" s="199"/>
      <c r="K42" s="199"/>
      <c r="L42" s="199" t="s">
        <v>24</v>
      </c>
    </row>
    <row r="43">
      <c r="A43" s="32"/>
      <c r="B43" s="102" t="s">
        <v>140</v>
      </c>
      <c r="C43" s="103" t="s">
        <v>141</v>
      </c>
      <c r="D43" s="211" t="s">
        <v>333</v>
      </c>
      <c r="E43" s="222" t="s">
        <v>314</v>
      </c>
      <c r="F43" s="17"/>
      <c r="G43" s="199"/>
      <c r="H43" s="199" t="s">
        <v>24</v>
      </c>
      <c r="I43" s="199"/>
      <c r="J43" s="199"/>
      <c r="K43" s="199"/>
      <c r="L43" s="199" t="s">
        <v>24</v>
      </c>
    </row>
    <row r="44">
      <c r="A44" s="32"/>
      <c r="B44" s="32"/>
      <c r="C44" s="106" t="s">
        <v>145</v>
      </c>
      <c r="D44" s="205"/>
      <c r="E44" s="205"/>
      <c r="F44" s="213"/>
      <c r="G44" s="199"/>
      <c r="H44" s="199" t="s">
        <v>24</v>
      </c>
      <c r="I44" s="199"/>
      <c r="J44" s="199"/>
      <c r="K44" s="199"/>
      <c r="L44" s="199" t="s">
        <v>24</v>
      </c>
    </row>
    <row r="45">
      <c r="A45" s="32"/>
      <c r="B45" s="32"/>
      <c r="C45" s="93" t="s">
        <v>146</v>
      </c>
      <c r="D45" s="205"/>
      <c r="E45" s="205"/>
      <c r="F45" s="213" t="s">
        <v>147</v>
      </c>
      <c r="G45" s="199"/>
      <c r="H45" s="199" t="s">
        <v>24</v>
      </c>
      <c r="I45" s="199"/>
      <c r="J45" s="199"/>
      <c r="K45" s="199"/>
      <c r="L45" s="199" t="s">
        <v>24</v>
      </c>
    </row>
    <row r="46">
      <c r="A46" s="32"/>
      <c r="B46" s="32"/>
      <c r="C46" s="107" t="s">
        <v>148</v>
      </c>
      <c r="D46" s="205"/>
      <c r="E46" s="205"/>
      <c r="F46" s="213" t="s">
        <v>149</v>
      </c>
      <c r="G46" s="196"/>
      <c r="H46" s="196" t="s">
        <v>24</v>
      </c>
      <c r="I46" s="196"/>
      <c r="J46" s="196"/>
      <c r="K46" s="196"/>
      <c r="L46" s="196" t="s">
        <v>24</v>
      </c>
    </row>
    <row r="47">
      <c r="A47" s="32"/>
      <c r="B47" s="32"/>
      <c r="C47" s="108" t="s">
        <v>150</v>
      </c>
      <c r="D47" s="205"/>
      <c r="E47" s="205"/>
      <c r="F47" s="213" t="s">
        <v>149</v>
      </c>
      <c r="G47" s="197"/>
      <c r="H47" s="197" t="s">
        <v>24</v>
      </c>
      <c r="I47" s="197"/>
      <c r="J47" s="197"/>
      <c r="K47" s="197"/>
      <c r="L47" s="197" t="s">
        <v>24</v>
      </c>
    </row>
    <row r="48">
      <c r="A48" s="32"/>
      <c r="B48" s="32"/>
      <c r="C48" s="109" t="s">
        <v>151</v>
      </c>
      <c r="D48" s="205"/>
      <c r="E48" s="211" t="s">
        <v>152</v>
      </c>
      <c r="F48" s="212" t="s">
        <v>153</v>
      </c>
      <c r="G48" s="197"/>
      <c r="H48" s="197" t="s">
        <v>24</v>
      </c>
      <c r="I48" s="197"/>
      <c r="J48" s="197"/>
      <c r="K48" s="197"/>
      <c r="L48" s="197" t="s">
        <v>24</v>
      </c>
    </row>
    <row r="49">
      <c r="A49" s="32"/>
      <c r="B49" s="32"/>
      <c r="C49" s="110" t="s">
        <v>154</v>
      </c>
      <c r="D49" s="205"/>
      <c r="E49" s="205"/>
      <c r="F49" s="17"/>
      <c r="G49" s="197"/>
      <c r="H49" s="197" t="s">
        <v>24</v>
      </c>
      <c r="I49" s="197"/>
      <c r="J49" s="197"/>
      <c r="K49" s="197"/>
      <c r="L49" s="197" t="s">
        <v>24</v>
      </c>
    </row>
    <row r="50">
      <c r="A50" s="32"/>
      <c r="B50" s="32"/>
      <c r="C50" s="111" t="s">
        <v>155</v>
      </c>
      <c r="D50" s="205"/>
      <c r="E50" s="205"/>
      <c r="F50" s="221" t="s">
        <v>156</v>
      </c>
      <c r="G50" s="197"/>
      <c r="H50" s="197" t="s">
        <v>24</v>
      </c>
      <c r="I50" s="197"/>
      <c r="J50" s="197"/>
      <c r="K50" s="197"/>
      <c r="L50" s="197" t="s">
        <v>24</v>
      </c>
    </row>
    <row r="51">
      <c r="A51" s="32"/>
      <c r="B51" s="32"/>
      <c r="C51" s="112" t="s">
        <v>157</v>
      </c>
      <c r="D51" s="205"/>
      <c r="E51" s="218" t="s">
        <v>158</v>
      </c>
      <c r="F51" s="17"/>
      <c r="G51" s="197"/>
      <c r="H51" s="197" t="s">
        <v>24</v>
      </c>
      <c r="I51" s="197"/>
      <c r="J51" s="197"/>
      <c r="K51" s="197"/>
      <c r="L51" s="197" t="s">
        <v>24</v>
      </c>
    </row>
    <row r="52">
      <c r="A52" s="32"/>
      <c r="B52" s="32"/>
      <c r="C52" s="83" t="s">
        <v>159</v>
      </c>
      <c r="D52" s="205"/>
      <c r="E52" s="211" t="s">
        <v>160</v>
      </c>
      <c r="F52" s="17"/>
      <c r="G52" s="197"/>
      <c r="H52" s="197" t="s">
        <v>24</v>
      </c>
      <c r="I52" s="197"/>
      <c r="J52" s="197"/>
      <c r="K52" s="197"/>
      <c r="L52" s="197" t="s">
        <v>24</v>
      </c>
    </row>
    <row r="53">
      <c r="A53" s="32"/>
      <c r="B53" s="32"/>
      <c r="C53" s="93" t="s">
        <v>161</v>
      </c>
      <c r="D53" s="205"/>
      <c r="E53" s="205"/>
      <c r="F53" s="17"/>
      <c r="G53" s="197"/>
      <c r="H53" s="197" t="s">
        <v>24</v>
      </c>
      <c r="I53" s="197"/>
      <c r="J53" s="197"/>
      <c r="K53" s="197"/>
      <c r="L53" s="197" t="s">
        <v>24</v>
      </c>
    </row>
    <row r="54">
      <c r="A54" s="32"/>
      <c r="B54" s="32"/>
      <c r="C54" s="93" t="s">
        <v>162</v>
      </c>
      <c r="D54" s="205"/>
      <c r="E54" s="211" t="s">
        <v>163</v>
      </c>
      <c r="F54" s="223"/>
      <c r="G54" s="197"/>
      <c r="H54" s="197" t="s">
        <v>24</v>
      </c>
      <c r="I54" s="197"/>
      <c r="J54" s="197"/>
      <c r="K54" s="197"/>
      <c r="L54" s="197" t="s">
        <v>24</v>
      </c>
    </row>
    <row r="55">
      <c r="A55" s="32"/>
      <c r="B55" s="32"/>
      <c r="C55" s="106" t="s">
        <v>164</v>
      </c>
      <c r="D55" s="205"/>
      <c r="E55" s="205"/>
      <c r="F55" s="224" t="s">
        <v>165</v>
      </c>
      <c r="G55" s="197"/>
      <c r="H55" s="197" t="s">
        <v>24</v>
      </c>
      <c r="I55" s="197"/>
      <c r="J55" s="197"/>
      <c r="K55" s="197"/>
      <c r="L55" s="197" t="s">
        <v>24</v>
      </c>
    </row>
    <row r="56">
      <c r="A56" s="32"/>
      <c r="B56" s="32"/>
      <c r="C56" s="106" t="s">
        <v>166</v>
      </c>
      <c r="D56" s="205"/>
      <c r="E56" s="205"/>
      <c r="F56" s="212" t="s">
        <v>167</v>
      </c>
      <c r="G56" s="197"/>
      <c r="H56" s="197" t="s">
        <v>24</v>
      </c>
      <c r="I56" s="197"/>
      <c r="J56" s="197"/>
      <c r="K56" s="197"/>
      <c r="L56" s="197" t="s">
        <v>24</v>
      </c>
    </row>
    <row r="57">
      <c r="A57" s="32"/>
      <c r="B57" s="37"/>
      <c r="C57" s="93" t="s">
        <v>168</v>
      </c>
      <c r="D57" s="205"/>
      <c r="E57" s="205"/>
      <c r="F57" s="17"/>
      <c r="G57" s="197"/>
      <c r="H57" s="197" t="s">
        <v>24</v>
      </c>
      <c r="I57" s="197"/>
      <c r="J57" s="197"/>
      <c r="K57" s="197"/>
      <c r="L57" s="197" t="s">
        <v>24</v>
      </c>
    </row>
    <row r="58">
      <c r="A58" s="32"/>
      <c r="B58" s="115" t="s">
        <v>169</v>
      </c>
      <c r="C58" s="85" t="s">
        <v>141</v>
      </c>
      <c r="D58" s="205"/>
      <c r="E58" s="205"/>
      <c r="F58" s="213" t="s">
        <v>170</v>
      </c>
      <c r="G58" s="197"/>
      <c r="H58" s="197" t="s">
        <v>24</v>
      </c>
      <c r="I58" s="197"/>
      <c r="J58" s="197"/>
      <c r="K58" s="197"/>
      <c r="L58" s="197" t="s">
        <v>24</v>
      </c>
    </row>
    <row r="59">
      <c r="A59" s="32"/>
      <c r="B59" s="32"/>
      <c r="C59" s="85" t="s">
        <v>171</v>
      </c>
      <c r="D59" s="211" t="s">
        <v>334</v>
      </c>
      <c r="E59" s="205"/>
      <c r="F59" s="212" t="s">
        <v>173</v>
      </c>
      <c r="G59" s="197"/>
      <c r="H59" s="197" t="s">
        <v>24</v>
      </c>
      <c r="I59" s="197"/>
      <c r="J59" s="197"/>
      <c r="K59" s="197"/>
      <c r="L59" s="197" t="s">
        <v>24</v>
      </c>
    </row>
    <row r="60">
      <c r="A60" s="32"/>
      <c r="B60" s="32"/>
      <c r="C60" s="116" t="s">
        <v>315</v>
      </c>
      <c r="D60" s="205"/>
      <c r="E60" s="205"/>
      <c r="F60" s="225" t="s">
        <v>176</v>
      </c>
      <c r="G60" s="197"/>
      <c r="H60" s="197" t="s">
        <v>24</v>
      </c>
      <c r="I60" s="197"/>
      <c r="J60" s="197"/>
      <c r="K60" s="197"/>
      <c r="L60" s="197" t="s">
        <v>24</v>
      </c>
    </row>
    <row r="61">
      <c r="A61" s="32"/>
      <c r="B61" s="37"/>
      <c r="C61" s="77" t="s">
        <v>177</v>
      </c>
      <c r="D61" s="205"/>
      <c r="E61" s="205"/>
      <c r="F61" s="17"/>
      <c r="G61" s="197"/>
      <c r="H61" s="197" t="s">
        <v>24</v>
      </c>
      <c r="I61" s="197"/>
      <c r="J61" s="197"/>
      <c r="K61" s="197"/>
      <c r="L61" s="197" t="s">
        <v>24</v>
      </c>
    </row>
    <row r="62">
      <c r="A62" s="32"/>
      <c r="B62" s="102" t="s">
        <v>178</v>
      </c>
      <c r="C62" s="93" t="s">
        <v>179</v>
      </c>
      <c r="D62" s="205"/>
      <c r="E62" s="205"/>
      <c r="F62" s="17"/>
      <c r="G62" s="197"/>
      <c r="H62" s="197" t="s">
        <v>24</v>
      </c>
      <c r="I62" s="197"/>
      <c r="J62" s="197"/>
      <c r="K62" s="197"/>
      <c r="L62" s="197" t="s">
        <v>24</v>
      </c>
    </row>
    <row r="63">
      <c r="A63" s="32"/>
      <c r="B63" s="32"/>
      <c r="C63" s="93" t="s">
        <v>141</v>
      </c>
      <c r="D63" s="205"/>
      <c r="E63" s="211" t="s">
        <v>180</v>
      </c>
      <c r="F63" s="17"/>
      <c r="G63" s="197"/>
      <c r="H63" s="197" t="s">
        <v>24</v>
      </c>
      <c r="I63" s="197"/>
      <c r="J63" s="197"/>
      <c r="K63" s="197"/>
      <c r="L63" s="197" t="s">
        <v>24</v>
      </c>
    </row>
    <row r="64">
      <c r="A64" s="32"/>
      <c r="B64" s="32"/>
      <c r="C64" s="106" t="s">
        <v>181</v>
      </c>
      <c r="D64" s="205"/>
      <c r="E64" s="205"/>
      <c r="F64" s="213" t="s">
        <v>182</v>
      </c>
      <c r="G64" s="197"/>
      <c r="H64" s="197" t="s">
        <v>24</v>
      </c>
      <c r="I64" s="197"/>
      <c r="J64" s="197"/>
      <c r="K64" s="197"/>
      <c r="L64" s="197" t="s">
        <v>24</v>
      </c>
    </row>
    <row r="65">
      <c r="A65" s="32"/>
      <c r="B65" s="32"/>
      <c r="C65" s="93" t="s">
        <v>183</v>
      </c>
      <c r="D65" s="205"/>
      <c r="E65" s="205"/>
      <c r="F65" s="17"/>
      <c r="G65" s="197"/>
      <c r="H65" s="197" t="s">
        <v>24</v>
      </c>
      <c r="I65" s="197"/>
      <c r="J65" s="197"/>
      <c r="K65" s="197"/>
      <c r="L65" s="197" t="s">
        <v>24</v>
      </c>
    </row>
    <row r="66">
      <c r="A66" s="32"/>
      <c r="B66" s="32"/>
      <c r="C66" s="93" t="s">
        <v>184</v>
      </c>
      <c r="D66" s="205"/>
      <c r="E66" s="205"/>
      <c r="F66" s="17"/>
      <c r="G66" s="197"/>
      <c r="H66" s="197" t="s">
        <v>24</v>
      </c>
      <c r="I66" s="197"/>
      <c r="J66" s="197"/>
      <c r="K66" s="197"/>
      <c r="L66" s="197" t="s">
        <v>24</v>
      </c>
    </row>
    <row r="67">
      <c r="A67" s="32"/>
      <c r="B67" s="32"/>
      <c r="C67" s="106" t="s">
        <v>185</v>
      </c>
      <c r="D67" s="205"/>
      <c r="E67" s="205"/>
      <c r="F67" s="213" t="s">
        <v>186</v>
      </c>
      <c r="G67" s="197"/>
      <c r="H67" s="197" t="s">
        <v>24</v>
      </c>
      <c r="I67" s="197"/>
      <c r="J67" s="197"/>
      <c r="K67" s="197"/>
      <c r="L67" s="197" t="s">
        <v>24</v>
      </c>
    </row>
    <row r="68">
      <c r="A68" s="32"/>
      <c r="B68" s="32"/>
      <c r="C68" s="87" t="s">
        <v>187</v>
      </c>
      <c r="D68" s="205"/>
      <c r="E68" s="205"/>
      <c r="F68" s="17"/>
      <c r="G68" s="197"/>
      <c r="H68" s="197" t="s">
        <v>24</v>
      </c>
      <c r="I68" s="197"/>
      <c r="J68" s="197"/>
      <c r="K68" s="197"/>
      <c r="L68" s="197" t="s">
        <v>24</v>
      </c>
    </row>
    <row r="69">
      <c r="A69" s="32"/>
      <c r="B69" s="32"/>
      <c r="C69" s="87" t="s">
        <v>188</v>
      </c>
      <c r="D69" s="205"/>
      <c r="E69" s="205"/>
      <c r="F69" s="212" t="s">
        <v>189</v>
      </c>
      <c r="G69" s="197"/>
      <c r="H69" s="197" t="s">
        <v>24</v>
      </c>
      <c r="I69" s="197"/>
      <c r="J69" s="197"/>
      <c r="K69" s="197"/>
      <c r="L69" s="197" t="s">
        <v>24</v>
      </c>
    </row>
    <row r="70">
      <c r="A70" s="32"/>
      <c r="B70" s="32"/>
      <c r="C70" s="77" t="s">
        <v>190</v>
      </c>
      <c r="D70" s="205"/>
      <c r="E70" s="205"/>
      <c r="F70" s="17"/>
      <c r="G70" s="196"/>
      <c r="H70" s="196" t="s">
        <v>376</v>
      </c>
      <c r="I70" s="196"/>
      <c r="J70" s="196"/>
      <c r="K70" s="196"/>
      <c r="L70" s="196" t="s">
        <v>376</v>
      </c>
    </row>
    <row r="71">
      <c r="A71" s="32"/>
      <c r="B71" s="32"/>
      <c r="C71" s="106" t="s">
        <v>191</v>
      </c>
      <c r="D71" s="205"/>
      <c r="E71" s="205"/>
      <c r="F71" s="213" t="s">
        <v>192</v>
      </c>
      <c r="G71" s="197"/>
      <c r="H71" s="197" t="s">
        <v>24</v>
      </c>
      <c r="I71" s="197"/>
      <c r="J71" s="197"/>
      <c r="K71" s="197"/>
      <c r="L71" s="197" t="s">
        <v>24</v>
      </c>
    </row>
    <row r="72">
      <c r="A72" s="32"/>
      <c r="B72" s="32"/>
      <c r="C72" s="106" t="s">
        <v>193</v>
      </c>
      <c r="D72" s="205"/>
      <c r="E72" s="205"/>
      <c r="F72" s="17"/>
      <c r="G72" s="197"/>
      <c r="H72" s="197" t="s">
        <v>24</v>
      </c>
      <c r="I72" s="197"/>
      <c r="J72" s="197"/>
      <c r="K72" s="197"/>
      <c r="L72" s="197" t="s">
        <v>24</v>
      </c>
    </row>
    <row r="73">
      <c r="A73" s="32"/>
      <c r="B73" s="32"/>
      <c r="C73" s="93" t="s">
        <v>194</v>
      </c>
      <c r="D73" s="205"/>
      <c r="E73" s="205"/>
      <c r="F73" s="17"/>
      <c r="G73" s="197"/>
      <c r="H73" s="197" t="s">
        <v>24</v>
      </c>
      <c r="I73" s="197"/>
      <c r="J73" s="197"/>
      <c r="K73" s="197"/>
      <c r="L73" s="197" t="s">
        <v>24</v>
      </c>
    </row>
    <row r="74">
      <c r="A74" s="32"/>
      <c r="B74" s="32"/>
      <c r="C74" s="103" t="s">
        <v>195</v>
      </c>
      <c r="D74" s="205"/>
      <c r="E74" s="205"/>
      <c r="F74" s="213" t="s">
        <v>196</v>
      </c>
      <c r="G74" s="197"/>
      <c r="H74" s="197" t="s">
        <v>24</v>
      </c>
      <c r="I74" s="197"/>
      <c r="J74" s="197"/>
      <c r="K74" s="197"/>
      <c r="L74" s="197" t="s">
        <v>24</v>
      </c>
    </row>
    <row r="75">
      <c r="A75" s="32"/>
      <c r="B75" s="32"/>
      <c r="C75" s="93" t="s">
        <v>197</v>
      </c>
      <c r="D75" s="205"/>
      <c r="E75" s="205"/>
      <c r="F75" s="213" t="s">
        <v>196</v>
      </c>
      <c r="G75" s="197"/>
      <c r="H75" s="197" t="s">
        <v>24</v>
      </c>
      <c r="I75" s="197"/>
      <c r="J75" s="197"/>
      <c r="K75" s="197"/>
      <c r="L75" s="197" t="s">
        <v>24</v>
      </c>
    </row>
    <row r="76">
      <c r="A76" s="32"/>
      <c r="B76" s="32"/>
      <c r="C76" s="226" t="s">
        <v>198</v>
      </c>
      <c r="D76" s="205"/>
      <c r="E76" s="205"/>
      <c r="F76" s="213" t="s">
        <v>196</v>
      </c>
      <c r="G76" s="197"/>
      <c r="H76" s="197" t="s">
        <v>24</v>
      </c>
      <c r="I76" s="197"/>
      <c r="J76" s="197"/>
      <c r="K76" s="197"/>
      <c r="L76" s="197" t="s">
        <v>24</v>
      </c>
    </row>
    <row r="77">
      <c r="A77" s="32"/>
      <c r="B77" s="32"/>
      <c r="C77" s="118" t="s">
        <v>199</v>
      </c>
      <c r="D77" s="205"/>
      <c r="E77" s="205"/>
      <c r="F77" s="212" t="s">
        <v>200</v>
      </c>
      <c r="G77" s="196"/>
      <c r="H77" s="196" t="s">
        <v>24</v>
      </c>
      <c r="I77" s="196"/>
      <c r="J77" s="196"/>
      <c r="K77" s="196"/>
      <c r="L77" s="196" t="s">
        <v>24</v>
      </c>
    </row>
    <row r="78">
      <c r="A78" s="32"/>
      <c r="B78" s="32"/>
      <c r="C78" s="227" t="s">
        <v>201</v>
      </c>
      <c r="D78" s="205"/>
      <c r="E78" s="205"/>
      <c r="F78" s="213" t="s">
        <v>202</v>
      </c>
      <c r="G78" s="197"/>
      <c r="H78" s="197" t="s">
        <v>24</v>
      </c>
      <c r="I78" s="197"/>
      <c r="J78" s="197"/>
      <c r="K78" s="197"/>
      <c r="L78" s="197" t="s">
        <v>24</v>
      </c>
    </row>
    <row r="79">
      <c r="A79" s="32"/>
      <c r="B79" s="32"/>
      <c r="C79" s="119" t="s">
        <v>203</v>
      </c>
      <c r="D79" s="205"/>
      <c r="E79" s="205"/>
      <c r="F79" s="213" t="s">
        <v>124</v>
      </c>
      <c r="G79" s="197"/>
      <c r="H79" s="197" t="s">
        <v>24</v>
      </c>
      <c r="I79" s="197"/>
      <c r="J79" s="197"/>
      <c r="K79" s="197"/>
      <c r="L79" s="197" t="s">
        <v>24</v>
      </c>
    </row>
    <row r="80">
      <c r="A80" s="32"/>
      <c r="B80" s="32"/>
      <c r="C80" s="120" t="s">
        <v>316</v>
      </c>
      <c r="D80" s="205"/>
      <c r="E80" s="205"/>
      <c r="F80" s="213" t="s">
        <v>124</v>
      </c>
      <c r="G80" s="197"/>
      <c r="H80" s="197" t="s">
        <v>24</v>
      </c>
      <c r="I80" s="197"/>
      <c r="J80" s="197"/>
      <c r="K80" s="197"/>
      <c r="L80" s="197" t="s">
        <v>24</v>
      </c>
    </row>
    <row r="81">
      <c r="A81" s="32"/>
      <c r="B81" s="37"/>
      <c r="C81" s="121" t="s">
        <v>205</v>
      </c>
      <c r="D81" s="228"/>
      <c r="E81" s="211" t="s">
        <v>206</v>
      </c>
      <c r="F81" s="213" t="s">
        <v>207</v>
      </c>
      <c r="G81" s="197"/>
      <c r="H81" s="197" t="s">
        <v>24</v>
      </c>
      <c r="I81" s="197"/>
      <c r="J81" s="197"/>
      <c r="K81" s="197"/>
      <c r="L81" s="197" t="s">
        <v>24</v>
      </c>
    </row>
    <row r="82">
      <c r="A82" s="32"/>
      <c r="B82" s="102" t="s">
        <v>208</v>
      </c>
      <c r="C82" s="106" t="s">
        <v>209</v>
      </c>
      <c r="D82" s="205"/>
      <c r="E82" s="205"/>
      <c r="F82" s="17"/>
      <c r="G82" s="197"/>
      <c r="H82" s="197" t="s">
        <v>24</v>
      </c>
      <c r="I82" s="197"/>
      <c r="J82" s="197"/>
      <c r="K82" s="197"/>
      <c r="L82" s="197" t="s">
        <v>24</v>
      </c>
    </row>
    <row r="83">
      <c r="A83" s="32"/>
      <c r="B83" s="32"/>
      <c r="C83" s="123" t="s">
        <v>210</v>
      </c>
      <c r="D83" s="205"/>
      <c r="E83" s="205"/>
      <c r="F83" s="213" t="s">
        <v>211</v>
      </c>
      <c r="G83" s="197"/>
      <c r="H83" s="197" t="s">
        <v>24</v>
      </c>
      <c r="I83" s="197"/>
      <c r="J83" s="197"/>
      <c r="K83" s="197"/>
      <c r="L83" s="197" t="s">
        <v>24</v>
      </c>
    </row>
    <row r="84">
      <c r="A84" s="32"/>
      <c r="B84" s="32"/>
      <c r="C84" s="124" t="s">
        <v>212</v>
      </c>
      <c r="D84" s="205"/>
      <c r="E84" s="205"/>
      <c r="F84" s="17"/>
      <c r="G84" s="197"/>
      <c r="H84" s="197" t="s">
        <v>24</v>
      </c>
      <c r="I84" s="197"/>
      <c r="J84" s="197"/>
      <c r="K84" s="197"/>
      <c r="L84" s="197" t="s">
        <v>24</v>
      </c>
    </row>
    <row r="85">
      <c r="A85" s="32"/>
      <c r="B85" s="32"/>
      <c r="C85" s="125" t="s">
        <v>213</v>
      </c>
      <c r="D85" s="205"/>
      <c r="E85" s="205"/>
      <c r="F85" s="17"/>
      <c r="G85" s="197"/>
      <c r="H85" s="197" t="s">
        <v>24</v>
      </c>
      <c r="I85" s="197"/>
      <c r="J85" s="197"/>
      <c r="K85" s="197"/>
      <c r="L85" s="197" t="s">
        <v>24</v>
      </c>
    </row>
    <row r="86">
      <c r="A86" s="32"/>
      <c r="B86" s="37"/>
      <c r="C86" s="124" t="s">
        <v>214</v>
      </c>
      <c r="D86" s="205"/>
      <c r="E86" s="205"/>
      <c r="F86" s="17"/>
      <c r="G86" s="197"/>
      <c r="H86" s="197" t="s">
        <v>24</v>
      </c>
      <c r="I86" s="197"/>
      <c r="J86" s="197"/>
      <c r="K86" s="197"/>
      <c r="L86" s="197" t="s">
        <v>24</v>
      </c>
    </row>
    <row r="87">
      <c r="A87" s="32"/>
      <c r="B87" s="115" t="s">
        <v>217</v>
      </c>
      <c r="C87" s="124" t="s">
        <v>218</v>
      </c>
      <c r="D87" s="205"/>
      <c r="E87" s="229" t="s">
        <v>219</v>
      </c>
      <c r="F87" s="17"/>
      <c r="G87" s="197"/>
      <c r="H87" s="197" t="s">
        <v>24</v>
      </c>
      <c r="I87" s="197"/>
      <c r="J87" s="197"/>
      <c r="K87" s="197"/>
      <c r="L87" s="197" t="s">
        <v>24</v>
      </c>
    </row>
    <row r="88">
      <c r="A88" s="32"/>
      <c r="B88" s="32"/>
      <c r="C88" s="124" t="s">
        <v>220</v>
      </c>
      <c r="D88" s="205"/>
      <c r="E88" s="205"/>
      <c r="F88" s="17"/>
      <c r="G88" s="197"/>
      <c r="H88" s="197" t="s">
        <v>24</v>
      </c>
      <c r="I88" s="197"/>
      <c r="J88" s="197"/>
      <c r="K88" s="197"/>
      <c r="L88" s="197" t="s">
        <v>24</v>
      </c>
    </row>
    <row r="89">
      <c r="A89" s="32"/>
      <c r="B89" s="32"/>
      <c r="C89" s="129" t="s">
        <v>221</v>
      </c>
      <c r="D89" s="205"/>
      <c r="E89" s="205"/>
      <c r="F89" s="213" t="s">
        <v>222</v>
      </c>
      <c r="G89" s="197"/>
      <c r="H89" s="197" t="s">
        <v>24</v>
      </c>
      <c r="I89" s="197"/>
      <c r="J89" s="197"/>
      <c r="K89" s="197"/>
      <c r="L89" s="197" t="s">
        <v>24</v>
      </c>
    </row>
    <row r="90">
      <c r="A90" s="32"/>
      <c r="B90" s="37"/>
      <c r="C90" s="124" t="s">
        <v>223</v>
      </c>
      <c r="D90" s="205"/>
      <c r="E90" s="205"/>
      <c r="F90" s="213" t="s">
        <v>224</v>
      </c>
      <c r="G90" s="197"/>
      <c r="H90" s="197" t="s">
        <v>24</v>
      </c>
      <c r="I90" s="197"/>
      <c r="J90" s="197"/>
      <c r="K90" s="197"/>
      <c r="L90" s="197" t="s">
        <v>24</v>
      </c>
    </row>
    <row r="91">
      <c r="A91" s="32"/>
      <c r="B91" s="115" t="s">
        <v>225</v>
      </c>
      <c r="C91" s="130" t="s">
        <v>226</v>
      </c>
      <c r="D91" s="205"/>
      <c r="E91" s="205"/>
      <c r="F91" s="230" t="s">
        <v>227</v>
      </c>
      <c r="G91" s="197"/>
      <c r="H91" s="197"/>
      <c r="I91" s="197"/>
      <c r="J91" s="197"/>
      <c r="K91" s="197"/>
      <c r="L91" s="197" t="s">
        <v>12</v>
      </c>
    </row>
    <row r="92">
      <c r="A92" s="32"/>
      <c r="B92" s="32"/>
      <c r="C92" s="231" t="s">
        <v>318</v>
      </c>
      <c r="D92" s="205"/>
      <c r="E92" s="205"/>
      <c r="F92" s="232"/>
      <c r="G92" s="197"/>
      <c r="H92" s="197"/>
      <c r="I92" s="197"/>
      <c r="J92" s="197"/>
      <c r="K92" s="197"/>
      <c r="L92" s="197" t="s">
        <v>12</v>
      </c>
    </row>
    <row r="93">
      <c r="A93" s="32"/>
      <c r="B93" s="32"/>
      <c r="C93" s="231" t="s">
        <v>229</v>
      </c>
      <c r="D93" s="205"/>
      <c r="E93" s="205"/>
      <c r="F93" s="233" t="s">
        <v>230</v>
      </c>
      <c r="G93" s="197"/>
      <c r="H93" s="197"/>
      <c r="I93" s="197"/>
      <c r="J93" s="197"/>
      <c r="K93" s="197"/>
      <c r="L93" s="197" t="s">
        <v>12</v>
      </c>
    </row>
    <row r="94">
      <c r="A94" s="32"/>
      <c r="B94" s="32"/>
      <c r="C94" s="231" t="s">
        <v>231</v>
      </c>
      <c r="D94" s="205"/>
      <c r="E94" s="205"/>
      <c r="F94" s="232"/>
      <c r="G94" s="197"/>
      <c r="H94" s="197"/>
      <c r="I94" s="197"/>
      <c r="J94" s="197"/>
      <c r="K94" s="197"/>
      <c r="L94" s="197" t="s">
        <v>12</v>
      </c>
    </row>
    <row r="95">
      <c r="A95" s="32"/>
      <c r="B95" s="32"/>
      <c r="C95" s="231" t="s">
        <v>232</v>
      </c>
      <c r="D95" s="205"/>
      <c r="E95" s="205"/>
      <c r="F95" s="234"/>
      <c r="G95" s="197"/>
      <c r="H95" s="197"/>
      <c r="I95" s="197"/>
      <c r="J95" s="197"/>
      <c r="K95" s="197"/>
      <c r="L95" s="197" t="s">
        <v>12</v>
      </c>
    </row>
    <row r="96">
      <c r="A96" s="32"/>
      <c r="B96" s="32"/>
      <c r="C96" s="231" t="s">
        <v>233</v>
      </c>
      <c r="D96" s="205"/>
      <c r="E96" s="205"/>
      <c r="F96" s="235" t="s">
        <v>234</v>
      </c>
      <c r="G96" s="197"/>
      <c r="H96" s="197"/>
      <c r="I96" s="197"/>
      <c r="J96" s="197"/>
      <c r="K96" s="197"/>
      <c r="L96" s="197" t="s">
        <v>12</v>
      </c>
    </row>
    <row r="97">
      <c r="A97" s="32"/>
      <c r="B97" s="32"/>
      <c r="C97" s="231" t="s">
        <v>235</v>
      </c>
      <c r="D97" s="205"/>
      <c r="E97" s="205"/>
      <c r="F97" s="235" t="s">
        <v>236</v>
      </c>
      <c r="G97" s="197"/>
      <c r="H97" s="197"/>
      <c r="I97" s="197"/>
      <c r="J97" s="197"/>
      <c r="K97" s="197"/>
      <c r="L97" s="197" t="s">
        <v>12</v>
      </c>
    </row>
    <row r="98">
      <c r="A98" s="32"/>
      <c r="B98" s="32"/>
      <c r="C98" s="231" t="s">
        <v>237</v>
      </c>
      <c r="D98" s="205"/>
      <c r="E98" s="205"/>
      <c r="F98" s="232"/>
      <c r="G98" s="197"/>
      <c r="H98" s="197"/>
      <c r="I98" s="197"/>
      <c r="J98" s="197"/>
      <c r="K98" s="197"/>
      <c r="L98" s="197" t="s">
        <v>12</v>
      </c>
    </row>
    <row r="99">
      <c r="A99" s="32"/>
      <c r="B99" s="32"/>
      <c r="C99" s="231" t="s">
        <v>238</v>
      </c>
      <c r="D99" s="205"/>
      <c r="E99" s="205"/>
      <c r="F99" s="213"/>
      <c r="G99" s="197"/>
      <c r="H99" s="197"/>
      <c r="I99" s="197"/>
      <c r="J99" s="197"/>
      <c r="K99" s="197"/>
      <c r="L99" s="197" t="s">
        <v>12</v>
      </c>
    </row>
    <row r="100">
      <c r="A100" s="32"/>
      <c r="B100" s="32"/>
      <c r="C100" s="231" t="s">
        <v>239</v>
      </c>
      <c r="D100" s="205"/>
      <c r="E100" s="205"/>
      <c r="F100" s="213"/>
      <c r="G100" s="197"/>
      <c r="H100" s="197"/>
      <c r="I100" s="197"/>
      <c r="J100" s="197"/>
      <c r="K100" s="197"/>
      <c r="L100" s="197" t="s">
        <v>12</v>
      </c>
    </row>
    <row r="101">
      <c r="A101" s="32"/>
      <c r="B101" s="32"/>
      <c r="C101" s="231" t="s">
        <v>240</v>
      </c>
      <c r="D101" s="205"/>
      <c r="E101" s="205"/>
      <c r="F101" s="213"/>
      <c r="G101" s="197"/>
      <c r="H101" s="197"/>
      <c r="I101" s="197"/>
      <c r="J101" s="197"/>
      <c r="K101" s="197"/>
      <c r="L101" s="197" t="s">
        <v>12</v>
      </c>
    </row>
    <row r="102">
      <c r="A102" s="32"/>
      <c r="B102" s="32"/>
      <c r="C102" s="231" t="s">
        <v>241</v>
      </c>
      <c r="D102" s="205"/>
      <c r="E102" s="205"/>
      <c r="F102" s="213"/>
      <c r="G102" s="197"/>
      <c r="H102" s="197"/>
      <c r="I102" s="197"/>
      <c r="J102" s="197"/>
      <c r="K102" s="197"/>
      <c r="L102" s="197" t="s">
        <v>12</v>
      </c>
    </row>
    <row r="103">
      <c r="A103" s="32"/>
      <c r="B103" s="32"/>
      <c r="C103" s="231" t="s">
        <v>242</v>
      </c>
      <c r="D103" s="205"/>
      <c r="E103" s="205"/>
      <c r="F103" s="213"/>
      <c r="G103" s="197"/>
      <c r="H103" s="197"/>
      <c r="I103" s="197"/>
      <c r="J103" s="197"/>
      <c r="K103" s="197"/>
      <c r="L103" s="197" t="s">
        <v>12</v>
      </c>
    </row>
    <row r="104">
      <c r="A104" s="32"/>
      <c r="B104" s="37"/>
      <c r="C104" s="231" t="s">
        <v>243</v>
      </c>
      <c r="D104" s="205"/>
      <c r="E104" s="205"/>
      <c r="F104" s="213"/>
      <c r="G104" s="197"/>
      <c r="H104" s="197"/>
      <c r="I104" s="197"/>
      <c r="J104" s="197"/>
      <c r="K104" s="197"/>
      <c r="L104" s="197" t="s">
        <v>12</v>
      </c>
    </row>
    <row r="105">
      <c r="A105" s="32"/>
      <c r="B105" s="102" t="s">
        <v>244</v>
      </c>
      <c r="C105" s="106" t="s">
        <v>245</v>
      </c>
      <c r="D105" s="205"/>
      <c r="E105" s="236"/>
      <c r="F105" s="237" t="s">
        <v>319</v>
      </c>
      <c r="G105" s="197"/>
      <c r="H105" s="197" t="s">
        <v>24</v>
      </c>
      <c r="I105" s="197"/>
      <c r="J105" s="197"/>
      <c r="K105" s="197"/>
      <c r="L105" s="197" t="s">
        <v>24</v>
      </c>
    </row>
    <row r="106">
      <c r="A106" s="32"/>
      <c r="B106" s="32"/>
      <c r="C106" s="123" t="s">
        <v>247</v>
      </c>
      <c r="D106" s="205"/>
      <c r="E106" s="211" t="s">
        <v>248</v>
      </c>
      <c r="F106" s="213" t="s">
        <v>207</v>
      </c>
      <c r="G106" s="197"/>
      <c r="H106" s="197" t="s">
        <v>24</v>
      </c>
      <c r="I106" s="197"/>
      <c r="J106" s="197"/>
      <c r="K106" s="197"/>
      <c r="L106" s="197" t="s">
        <v>24</v>
      </c>
    </row>
    <row r="107">
      <c r="A107" s="32"/>
      <c r="B107" s="32"/>
      <c r="C107" s="123" t="s">
        <v>249</v>
      </c>
      <c r="D107" s="205"/>
      <c r="E107" s="205"/>
      <c r="F107" s="213" t="s">
        <v>250</v>
      </c>
      <c r="G107" s="197"/>
      <c r="H107" s="197" t="s">
        <v>24</v>
      </c>
      <c r="I107" s="197"/>
      <c r="J107" s="197"/>
      <c r="K107" s="197"/>
      <c r="L107" s="197" t="s">
        <v>24</v>
      </c>
    </row>
    <row r="108">
      <c r="A108" s="32"/>
      <c r="B108" s="32"/>
      <c r="C108" s="103" t="s">
        <v>251</v>
      </c>
      <c r="D108" s="205"/>
      <c r="E108" s="205"/>
      <c r="F108" s="213" t="s">
        <v>252</v>
      </c>
      <c r="G108" s="197"/>
      <c r="H108" s="197" t="s">
        <v>24</v>
      </c>
      <c r="I108" s="197"/>
      <c r="J108" s="197"/>
      <c r="K108" s="197"/>
      <c r="L108" s="197" t="s">
        <v>24</v>
      </c>
    </row>
    <row r="109">
      <c r="A109" s="32"/>
      <c r="B109" s="32"/>
      <c r="C109" s="106" t="s">
        <v>253</v>
      </c>
      <c r="D109" s="205"/>
      <c r="E109" s="205"/>
      <c r="F109" s="213" t="s">
        <v>254</v>
      </c>
      <c r="G109" s="197"/>
      <c r="H109" s="197" t="s">
        <v>24</v>
      </c>
      <c r="I109" s="197"/>
      <c r="J109" s="197"/>
      <c r="K109" s="197"/>
      <c r="L109" s="197" t="s">
        <v>24</v>
      </c>
    </row>
    <row r="110">
      <c r="A110" s="32"/>
      <c r="B110" s="32"/>
      <c r="C110" s="106" t="s">
        <v>255</v>
      </c>
      <c r="D110" s="205"/>
      <c r="E110" s="205"/>
      <c r="F110" s="213" t="s">
        <v>256</v>
      </c>
      <c r="G110" s="197"/>
      <c r="H110" s="197" t="s">
        <v>24</v>
      </c>
      <c r="I110" s="197"/>
      <c r="J110" s="197"/>
      <c r="K110" s="197"/>
      <c r="L110" s="197" t="s">
        <v>24</v>
      </c>
    </row>
    <row r="111">
      <c r="A111" s="32"/>
      <c r="B111" s="32"/>
      <c r="C111" s="93" t="s">
        <v>257</v>
      </c>
      <c r="D111" s="205"/>
      <c r="E111" s="205"/>
      <c r="F111" s="17"/>
      <c r="G111" s="197"/>
      <c r="H111" s="197" t="s">
        <v>24</v>
      </c>
      <c r="I111" s="197"/>
      <c r="J111" s="197"/>
      <c r="K111" s="197"/>
      <c r="L111" s="197" t="s">
        <v>24</v>
      </c>
    </row>
    <row r="112">
      <c r="A112" s="32"/>
      <c r="B112" s="32"/>
      <c r="C112" s="93" t="s">
        <v>258</v>
      </c>
      <c r="D112" s="205"/>
      <c r="E112" s="205"/>
      <c r="F112" s="213" t="s">
        <v>259</v>
      </c>
      <c r="G112" s="197"/>
      <c r="H112" s="197" t="s">
        <v>24</v>
      </c>
      <c r="I112" s="197"/>
      <c r="J112" s="197"/>
      <c r="K112" s="197"/>
      <c r="L112" s="197" t="s">
        <v>24</v>
      </c>
    </row>
    <row r="113">
      <c r="A113" s="32"/>
      <c r="B113" s="32"/>
      <c r="C113" s="238" t="s">
        <v>260</v>
      </c>
      <c r="D113" s="205"/>
      <c r="E113" s="205"/>
      <c r="F113" s="17"/>
      <c r="G113" s="197"/>
      <c r="H113" s="197" t="s">
        <v>24</v>
      </c>
      <c r="I113" s="197"/>
      <c r="J113" s="197"/>
      <c r="K113" s="197"/>
      <c r="L113" s="197" t="s">
        <v>24</v>
      </c>
    </row>
    <row r="114">
      <c r="A114" s="32"/>
      <c r="B114" s="32"/>
      <c r="C114" s="238" t="s">
        <v>261</v>
      </c>
      <c r="D114" s="205"/>
      <c r="E114" s="205"/>
      <c r="F114" s="239" t="s">
        <v>262</v>
      </c>
      <c r="G114" s="197"/>
      <c r="H114" s="197"/>
      <c r="I114" s="197"/>
      <c r="J114" s="197"/>
      <c r="K114" s="197"/>
      <c r="L114" s="197"/>
    </row>
    <row r="115">
      <c r="A115" s="32"/>
      <c r="B115" s="37"/>
      <c r="C115" s="238" t="s">
        <v>263</v>
      </c>
      <c r="D115" s="205"/>
      <c r="E115" s="205"/>
      <c r="F115" s="17"/>
      <c r="G115" s="197"/>
      <c r="H115" s="197" t="s">
        <v>24</v>
      </c>
      <c r="I115" s="197"/>
      <c r="J115" s="197"/>
      <c r="K115" s="197"/>
      <c r="L115" s="197" t="s">
        <v>24</v>
      </c>
    </row>
    <row r="116">
      <c r="A116" s="32"/>
      <c r="B116" s="141" t="s">
        <v>264</v>
      </c>
      <c r="C116" s="142" t="s">
        <v>265</v>
      </c>
      <c r="D116" s="228"/>
      <c r="E116" s="211" t="s">
        <v>266</v>
      </c>
      <c r="F116" s="240"/>
      <c r="G116" s="197"/>
      <c r="H116" s="197" t="s">
        <v>24</v>
      </c>
      <c r="I116" s="197"/>
      <c r="J116" s="197"/>
      <c r="K116" s="197"/>
      <c r="L116" s="197" t="s">
        <v>24</v>
      </c>
    </row>
    <row r="117">
      <c r="A117" s="32"/>
      <c r="B117" s="32"/>
      <c r="C117" s="143" t="s">
        <v>267</v>
      </c>
      <c r="D117" s="229" t="s">
        <v>336</v>
      </c>
      <c r="E117" s="228"/>
      <c r="F117" s="241"/>
      <c r="G117" s="197"/>
      <c r="H117" s="197"/>
      <c r="I117" s="197"/>
      <c r="J117" s="197"/>
      <c r="K117" s="197"/>
      <c r="L117" s="197"/>
    </row>
    <row r="118">
      <c r="A118" s="32"/>
      <c r="B118" s="32"/>
      <c r="C118" s="143" t="s">
        <v>270</v>
      </c>
      <c r="D118" s="205"/>
      <c r="E118" s="210" t="s">
        <v>271</v>
      </c>
      <c r="F118" s="241"/>
      <c r="G118" s="197"/>
      <c r="H118" s="197"/>
      <c r="I118" s="197"/>
      <c r="J118" s="197"/>
      <c r="K118" s="197"/>
      <c r="L118" s="197"/>
    </row>
    <row r="119">
      <c r="A119" s="37"/>
      <c r="B119" s="37"/>
      <c r="C119" s="148" t="s">
        <v>274</v>
      </c>
      <c r="D119" s="205"/>
      <c r="E119" s="228"/>
      <c r="F119" s="241" t="s">
        <v>275</v>
      </c>
      <c r="G119" s="197"/>
      <c r="H119" s="197" t="s">
        <v>24</v>
      </c>
      <c r="I119" s="197"/>
      <c r="J119" s="197"/>
      <c r="K119" s="197"/>
      <c r="L119" s="197" t="s">
        <v>24</v>
      </c>
    </row>
    <row r="120">
      <c r="A120" s="154"/>
      <c r="B120" s="154">
        <v>120.0</v>
      </c>
      <c r="C120" s="154" t="s">
        <v>377</v>
      </c>
      <c r="D120" s="154"/>
      <c r="E120" s="154"/>
      <c r="F120" s="142" t="s">
        <v>276</v>
      </c>
      <c r="G120" s="200">
        <v>0.0</v>
      </c>
      <c r="H120" s="200">
        <v>85.0</v>
      </c>
      <c r="I120" s="200">
        <v>0.0</v>
      </c>
      <c r="J120" s="200">
        <v>0.0</v>
      </c>
      <c r="K120" s="200">
        <v>0.0</v>
      </c>
      <c r="L120" s="200">
        <v>97.0</v>
      </c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>
      <c r="A125" s="79" t="s">
        <v>378</v>
      </c>
      <c r="B125" s="152"/>
      <c r="C125" s="152"/>
      <c r="D125" s="153"/>
      <c r="E125" s="10"/>
      <c r="F125" s="10"/>
      <c r="G125" s="10"/>
      <c r="H125" s="10"/>
      <c r="I125" s="10"/>
      <c r="J125" s="10"/>
      <c r="K125" s="10"/>
      <c r="L125" s="10"/>
    </row>
    <row r="126">
      <c r="A126" s="154"/>
      <c r="B126" s="155" t="s">
        <v>5</v>
      </c>
      <c r="C126" s="155" t="s">
        <v>277</v>
      </c>
      <c r="D126" s="155" t="s">
        <v>7</v>
      </c>
      <c r="E126" s="10"/>
      <c r="F126" s="10"/>
      <c r="G126" s="10"/>
      <c r="H126" s="10"/>
      <c r="I126" s="10"/>
      <c r="J126" s="10"/>
      <c r="K126" s="10"/>
      <c r="L126" s="10"/>
    </row>
    <row r="127">
      <c r="A127" s="155" t="s">
        <v>278</v>
      </c>
      <c r="B127" s="154">
        <v>0.0</v>
      </c>
      <c r="C127" s="154">
        <v>90.0</v>
      </c>
      <c r="D127" s="154">
        <v>0.0</v>
      </c>
      <c r="E127" s="10"/>
      <c r="F127" s="10"/>
      <c r="G127" s="10"/>
      <c r="H127" s="10"/>
      <c r="I127" s="10"/>
      <c r="J127" s="10"/>
      <c r="K127" s="10"/>
      <c r="L127" s="10"/>
    </row>
    <row r="128">
      <c r="A128" s="155" t="s">
        <v>279</v>
      </c>
      <c r="B128" s="154">
        <v>0.0</v>
      </c>
      <c r="C128" s="154">
        <v>0.0</v>
      </c>
      <c r="D128" s="154">
        <v>0.0</v>
      </c>
      <c r="E128" s="10"/>
      <c r="F128" s="10"/>
      <c r="G128" s="10"/>
      <c r="H128" s="10"/>
      <c r="I128" s="10"/>
      <c r="J128" s="10"/>
      <c r="K128" s="10"/>
      <c r="L128" s="10"/>
    </row>
    <row r="129">
      <c r="A129" s="155" t="s">
        <v>280</v>
      </c>
      <c r="B129" s="154">
        <v>0.0</v>
      </c>
      <c r="C129" s="154">
        <v>0.0</v>
      </c>
      <c r="D129" s="154">
        <v>0.0</v>
      </c>
      <c r="E129" s="10"/>
      <c r="F129" s="10"/>
      <c r="G129" s="10"/>
      <c r="H129" s="10"/>
      <c r="I129" s="10"/>
      <c r="J129" s="10"/>
      <c r="K129" s="10"/>
      <c r="L129" s="10"/>
    </row>
    <row r="130">
      <c r="A130" s="155" t="s">
        <v>281</v>
      </c>
      <c r="B130" s="154">
        <v>0.0</v>
      </c>
      <c r="C130" s="154">
        <v>15.0</v>
      </c>
      <c r="D130" s="154">
        <v>0.0</v>
      </c>
      <c r="E130" s="10"/>
      <c r="F130" s="10"/>
      <c r="G130" s="10"/>
      <c r="H130" s="10"/>
      <c r="I130" s="10"/>
      <c r="J130" s="10"/>
      <c r="K130" s="10"/>
      <c r="L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>
      <c r="A133" s="156" t="s">
        <v>282</v>
      </c>
      <c r="F133" s="10"/>
      <c r="G133" s="10"/>
      <c r="H133" s="10"/>
      <c r="I133" s="10"/>
      <c r="J133" s="10"/>
      <c r="K133" s="10"/>
      <c r="L133" s="10"/>
    </row>
    <row r="134">
      <c r="A134" s="157" t="s">
        <v>8</v>
      </c>
      <c r="B134" s="158"/>
      <c r="C134" s="158"/>
      <c r="D134" s="158"/>
      <c r="E134" s="157" t="s">
        <v>283</v>
      </c>
      <c r="F134" s="10"/>
      <c r="G134" s="10"/>
      <c r="H134" s="10"/>
      <c r="I134" s="10"/>
      <c r="J134" s="10"/>
      <c r="K134" s="10"/>
      <c r="L134" s="10"/>
    </row>
    <row r="135">
      <c r="A135" s="159" t="s">
        <v>284</v>
      </c>
      <c r="B135" s="158"/>
      <c r="C135" s="158"/>
      <c r="D135" s="158"/>
      <c r="E135" s="160" t="s">
        <v>24</v>
      </c>
      <c r="F135" s="10"/>
      <c r="G135" s="10"/>
      <c r="H135" s="10"/>
      <c r="I135" s="10"/>
      <c r="J135" s="10"/>
      <c r="K135" s="10"/>
      <c r="L135" s="10"/>
    </row>
    <row r="136">
      <c r="A136" s="161" t="s">
        <v>285</v>
      </c>
      <c r="B136" s="158"/>
      <c r="C136" s="158"/>
      <c r="D136" s="158"/>
      <c r="E136" s="162" t="s">
        <v>12</v>
      </c>
      <c r="F136" s="10"/>
      <c r="G136" s="10"/>
      <c r="H136" s="10"/>
      <c r="I136" s="10"/>
      <c r="J136" s="10"/>
      <c r="K136" s="10"/>
      <c r="L136" s="10"/>
    </row>
    <row r="137">
      <c r="A137" s="163" t="s">
        <v>286</v>
      </c>
      <c r="B137" s="158"/>
      <c r="C137" s="158"/>
      <c r="D137" s="158"/>
      <c r="E137" s="164" t="s">
        <v>287</v>
      </c>
      <c r="F137" s="10"/>
      <c r="G137" s="10"/>
      <c r="H137" s="10"/>
      <c r="I137" s="10"/>
      <c r="J137" s="10"/>
      <c r="K137" s="10"/>
      <c r="L137" s="10"/>
    </row>
    <row r="138">
      <c r="A138" s="165" t="s">
        <v>288</v>
      </c>
      <c r="B138" s="158"/>
      <c r="C138" s="158"/>
      <c r="D138" s="158"/>
      <c r="E138" s="166" t="s">
        <v>10</v>
      </c>
      <c r="F138" s="10"/>
      <c r="G138" s="10"/>
      <c r="H138" s="10"/>
      <c r="I138" s="10"/>
      <c r="J138" s="10"/>
      <c r="K138" s="10"/>
      <c r="L138" s="10"/>
    </row>
    <row r="139">
      <c r="A139" s="167" t="s">
        <v>289</v>
      </c>
      <c r="B139" s="158"/>
      <c r="C139" s="158"/>
      <c r="D139" s="158"/>
      <c r="E139" s="168" t="s">
        <v>290</v>
      </c>
      <c r="F139" s="10"/>
      <c r="G139" s="10"/>
      <c r="H139" s="10"/>
      <c r="I139" s="10"/>
      <c r="J139" s="10"/>
      <c r="K139" s="10"/>
      <c r="L139" s="10"/>
    </row>
    <row r="140">
      <c r="A140" s="169" t="s">
        <v>291</v>
      </c>
      <c r="B140" s="158"/>
      <c r="C140" s="158"/>
      <c r="D140" s="158"/>
      <c r="E140" s="170" t="s">
        <v>292</v>
      </c>
      <c r="F140" s="10"/>
      <c r="G140" s="10"/>
      <c r="H140" s="10"/>
      <c r="I140" s="10"/>
      <c r="J140" s="10"/>
      <c r="K140" s="10"/>
      <c r="L140" s="10"/>
    </row>
    <row r="141">
      <c r="A141" s="171" t="s">
        <v>293</v>
      </c>
      <c r="B141" s="158"/>
      <c r="C141" s="158"/>
      <c r="D141" s="158"/>
      <c r="E141" s="172" t="s">
        <v>294</v>
      </c>
      <c r="F141" s="10"/>
      <c r="G141" s="10"/>
      <c r="H141" s="10"/>
      <c r="I141" s="10"/>
      <c r="J141" s="10"/>
      <c r="K141" s="10"/>
      <c r="L141" s="10"/>
    </row>
    <row r="142">
      <c r="A142" s="173" t="s">
        <v>295</v>
      </c>
      <c r="B142" s="158"/>
      <c r="C142" s="158"/>
      <c r="D142" s="158"/>
      <c r="E142" s="174" t="s">
        <v>11</v>
      </c>
      <c r="F142" s="10"/>
      <c r="G142" s="10"/>
      <c r="H142" s="10"/>
      <c r="I142" s="10"/>
      <c r="J142" s="10"/>
      <c r="K142" s="10"/>
      <c r="L142" s="10"/>
    </row>
    <row r="143">
      <c r="A143" s="175" t="s">
        <v>296</v>
      </c>
      <c r="B143" s="158"/>
      <c r="C143" s="158"/>
      <c r="D143" s="158"/>
      <c r="E143" s="176" t="s">
        <v>12</v>
      </c>
      <c r="F143" s="10"/>
      <c r="G143" s="10"/>
      <c r="H143" s="10"/>
      <c r="I143" s="10"/>
      <c r="J143" s="10"/>
      <c r="K143" s="10"/>
      <c r="L143" s="10"/>
    </row>
    <row r="144">
      <c r="A144" s="177" t="s">
        <v>297</v>
      </c>
      <c r="B144" s="158"/>
      <c r="C144" s="158"/>
      <c r="D144" s="158"/>
      <c r="E144" s="158"/>
      <c r="F144" s="10"/>
      <c r="G144" s="10"/>
      <c r="H144" s="10"/>
      <c r="I144" s="10"/>
      <c r="J144" s="10"/>
      <c r="K144" s="10"/>
      <c r="L144" s="10"/>
    </row>
    <row r="145">
      <c r="A145" s="178" t="s">
        <v>298</v>
      </c>
      <c r="B145" s="158"/>
      <c r="C145" s="158"/>
      <c r="D145" s="158"/>
      <c r="E145" s="158"/>
      <c r="F145" s="10"/>
      <c r="G145" s="10"/>
      <c r="H145" s="10"/>
      <c r="I145" s="10"/>
      <c r="J145" s="10"/>
      <c r="K145" s="10"/>
      <c r="L145" s="10"/>
    </row>
    <row r="146">
      <c r="A146" s="179" t="s">
        <v>299</v>
      </c>
      <c r="B146" s="158"/>
      <c r="C146" s="158"/>
      <c r="D146" s="158"/>
      <c r="E146" s="158"/>
      <c r="F146" s="10"/>
      <c r="G146" s="10"/>
      <c r="H146" s="10"/>
      <c r="I146" s="10"/>
      <c r="J146" s="10"/>
      <c r="K146" s="10"/>
      <c r="L146" s="10"/>
    </row>
    <row r="147">
      <c r="A147" s="180" t="s">
        <v>300</v>
      </c>
      <c r="B147" s="158"/>
      <c r="C147" s="158"/>
      <c r="D147" s="158"/>
      <c r="E147" s="158"/>
      <c r="F147" s="10"/>
      <c r="G147" s="10"/>
      <c r="H147" s="10"/>
      <c r="I147" s="10"/>
      <c r="J147" s="10"/>
      <c r="K147" s="10"/>
      <c r="L147" s="10"/>
    </row>
    <row r="148">
      <c r="A148" s="181" t="s">
        <v>301</v>
      </c>
      <c r="B148" s="158"/>
      <c r="C148" s="158"/>
      <c r="D148" s="158"/>
      <c r="E148" s="158"/>
      <c r="F148" s="10"/>
      <c r="G148" s="10"/>
      <c r="H148" s="10"/>
      <c r="I148" s="10"/>
      <c r="J148" s="10"/>
      <c r="K148" s="10"/>
      <c r="L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</sheetData>
  <mergeCells count="17">
    <mergeCell ref="B43:B57"/>
    <mergeCell ref="B58:B61"/>
    <mergeCell ref="B62:B81"/>
    <mergeCell ref="B82:B86"/>
    <mergeCell ref="B87:B90"/>
    <mergeCell ref="B91:B104"/>
    <mergeCell ref="B105:B115"/>
    <mergeCell ref="B116:B119"/>
    <mergeCell ref="A125:D125"/>
    <mergeCell ref="A133:E133"/>
    <mergeCell ref="G1:I1"/>
    <mergeCell ref="J1:L1"/>
    <mergeCell ref="A6:A25"/>
    <mergeCell ref="B6:B22"/>
    <mergeCell ref="B23:B25"/>
    <mergeCell ref="A26:A119"/>
    <mergeCell ref="B26:B42"/>
  </mergeCells>
  <conditionalFormatting sqref="H6:L119">
    <cfRule type="cellIs" dxfId="16" priority="1" operator="equal">
      <formula>"OK"</formula>
    </cfRule>
  </conditionalFormatting>
  <conditionalFormatting sqref="B3:D3 G4:L4">
    <cfRule type="cellIs" dxfId="14" priority="2" stopIfTrue="1" operator="equal">
      <formula>"Anu"</formula>
    </cfRule>
  </conditionalFormatting>
  <conditionalFormatting sqref="B3:D3 G4:L4">
    <cfRule type="cellIs" dxfId="0" priority="3" stopIfTrue="1" operator="equal">
      <formula>"Amrita"</formula>
    </cfRule>
  </conditionalFormatting>
  <conditionalFormatting sqref="B3:D3 G4:L4">
    <cfRule type="cellIs" dxfId="1" priority="4" stopIfTrue="1" operator="equal">
      <formula>"Soumya"</formula>
    </cfRule>
  </conditionalFormatting>
  <conditionalFormatting sqref="B3:D3 G4:L4">
    <cfRule type="cellIs" dxfId="2" priority="5" stopIfTrue="1" operator="equal">
      <formula>"Hannah"</formula>
    </cfRule>
  </conditionalFormatting>
  <conditionalFormatting sqref="B3:D3 G4:L4">
    <cfRule type="cellIs" dxfId="3" priority="6" stopIfTrue="1" operator="equal">
      <formula>"Naga Lakshmi"</formula>
    </cfRule>
  </conditionalFormatting>
  <conditionalFormatting sqref="B3:D3 G4:L4">
    <cfRule type="cellIs" dxfId="4" priority="7" stopIfTrue="1" operator="equal">
      <formula>"Aditya"</formula>
    </cfRule>
  </conditionalFormatting>
  <conditionalFormatting sqref="B3:D3 G4:L4">
    <cfRule type="cellIs" dxfId="15" priority="8" stopIfTrue="1" operator="equal">
      <formula>"Pankhuri"</formula>
    </cfRule>
  </conditionalFormatting>
  <conditionalFormatting sqref="B3:D3 G4:L4">
    <cfRule type="cellIs" dxfId="5" priority="9" stopIfTrue="1" operator="equal">
      <formula>"Sakshi"</formula>
    </cfRule>
  </conditionalFormatting>
  <conditionalFormatting sqref="B3:D3 G4:L4">
    <cfRule type="cellIs" dxfId="6" priority="10" stopIfTrue="1" operator="equal">
      <formula>"Abdul"</formula>
    </cfRule>
  </conditionalFormatting>
  <conditionalFormatting sqref="B3:D3 G4:L4">
    <cfRule type="cellIs" dxfId="7" priority="11" stopIfTrue="1" operator="equal">
      <formula>"Sourabh"</formula>
    </cfRule>
  </conditionalFormatting>
  <conditionalFormatting sqref="B3:D3 G4:L4">
    <cfRule type="cellIs" dxfId="8" priority="12" stopIfTrue="1" operator="equal">
      <formula>"Prachi"</formula>
    </cfRule>
  </conditionalFormatting>
  <conditionalFormatting sqref="B3:D3 G4:L4">
    <cfRule type="cellIs" dxfId="9" priority="13" stopIfTrue="1" operator="equal">
      <formula>"Vishnu"</formula>
    </cfRule>
  </conditionalFormatting>
  <conditionalFormatting sqref="B3:D3 G4:L4">
    <cfRule type="cellIs" dxfId="10" priority="14" stopIfTrue="1" operator="equal">
      <formula>"Ivy"</formula>
    </cfRule>
  </conditionalFormatting>
  <conditionalFormatting sqref="B3:D3 G4:L4">
    <cfRule type="cellIs" dxfId="11" priority="15" stopIfTrue="1" operator="equal">
      <formula>"Rupal"</formula>
    </cfRule>
  </conditionalFormatting>
  <conditionalFormatting sqref="B3:D3 G4:L4">
    <cfRule type="cellIs" dxfId="25" priority="16" stopIfTrue="1" operator="equal">
      <formula>"Utkarsh"</formula>
    </cfRule>
  </conditionalFormatting>
  <conditionalFormatting sqref="B3:D3 G4:L4">
    <cfRule type="cellIs" dxfId="12" priority="17" stopIfTrue="1" operator="equal">
      <formula>"Soumyajit"</formula>
    </cfRule>
  </conditionalFormatting>
  <conditionalFormatting sqref="B3:D3 G4:L4">
    <cfRule type="cellIs" dxfId="13" priority="18" stopIfTrue="1" operator="equal">
      <formula>"Propali"</formula>
    </cfRule>
  </conditionalFormatting>
  <conditionalFormatting sqref="G6:L119">
    <cfRule type="cellIs" dxfId="16" priority="19" stopIfTrue="1" operator="equal">
      <formula>"OK"</formula>
    </cfRule>
  </conditionalFormatting>
  <conditionalFormatting sqref="B3:D3 G4:L4 G6:L119">
    <cfRule type="cellIs" dxfId="18" priority="20" stopIfTrue="1" operator="equal">
      <formula>"Not Tested"</formula>
    </cfRule>
  </conditionalFormatting>
  <conditionalFormatting sqref="G6:L119">
    <cfRule type="cellIs" dxfId="19" priority="21" stopIfTrue="1" operator="equal">
      <formula>"N/A"</formula>
    </cfRule>
  </conditionalFormatting>
  <conditionalFormatting sqref="B2:D2 G3:L3">
    <cfRule type="containsText" dxfId="20" priority="22" stopIfTrue="1" operator="containsText" text="Incomplete">
      <formula>NOT(ISERROR(SEARCH(("Incomplete"),(B2))))</formula>
    </cfRule>
  </conditionalFormatting>
  <conditionalFormatting sqref="B2:D2 G3:L3">
    <cfRule type="containsText" dxfId="17" priority="23" stopIfTrue="1" operator="containsText" text="Broken">
      <formula>NOT(ISERROR(SEARCH(("Broken"),(B2))))</formula>
    </cfRule>
  </conditionalFormatting>
  <conditionalFormatting sqref="B2:D2 G3:L3">
    <cfRule type="containsText" dxfId="21" priority="24" stopIfTrue="1" operator="containsText" text="Some problems">
      <formula>NOT(ISERROR(SEARCH(("Some problems"),(B2))))</formula>
    </cfRule>
  </conditionalFormatting>
  <conditionalFormatting sqref="B2:D2 G3:L3">
    <cfRule type="containsText" dxfId="22" priority="25" stopIfTrue="1" operator="containsText" text="All OK">
      <formula>NOT(ISERROR(SEARCH(("All OK"),(B2))))</formula>
    </cfRule>
  </conditionalFormatting>
  <conditionalFormatting sqref="B2:D2 G3:L3">
    <cfRule type="containsText" dxfId="23" priority="26" stopIfTrue="1" operator="containsText" text="In Progress">
      <formula>NOT(ISERROR(SEARCH(("In Progress"),(B2))))</formula>
    </cfRule>
  </conditionalFormatting>
  <conditionalFormatting sqref="B2:D2 G3:L3">
    <cfRule type="containsText" dxfId="24" priority="27" stopIfTrue="1" operator="containsText" text="Not Tested">
      <formula>NOT(ISERROR(SEARCH(("Not Tested"),(B2))))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379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379</v>
      </c>
      <c r="H1" s="6"/>
      <c r="I1" s="7"/>
      <c r="J1" s="5" t="s">
        <v>380</v>
      </c>
      <c r="K1" s="6"/>
      <c r="L1" s="7"/>
      <c r="M1" s="5" t="s">
        <v>381</v>
      </c>
      <c r="N1" s="6"/>
      <c r="O1" s="7"/>
    </row>
    <row r="2">
      <c r="A2" s="8"/>
      <c r="B2" s="9" t="s">
        <v>382</v>
      </c>
      <c r="C2" s="9" t="s">
        <v>10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</row>
    <row r="3">
      <c r="A3" s="13" t="s">
        <v>8</v>
      </c>
      <c r="B3" s="9" t="s">
        <v>301</v>
      </c>
      <c r="C3" s="9" t="s">
        <v>12</v>
      </c>
      <c r="D3" s="9" t="s">
        <v>12</v>
      </c>
      <c r="E3" s="10"/>
      <c r="F3" s="14" t="s">
        <v>9</v>
      </c>
      <c r="G3" s="15" t="s">
        <v>292</v>
      </c>
      <c r="H3" s="15" t="s">
        <v>10</v>
      </c>
      <c r="I3" s="15" t="s">
        <v>10</v>
      </c>
      <c r="J3" s="15" t="s">
        <v>10</v>
      </c>
      <c r="K3" s="15" t="s">
        <v>292</v>
      </c>
      <c r="L3" s="15" t="s">
        <v>10</v>
      </c>
      <c r="M3" s="15" t="s">
        <v>10</v>
      </c>
      <c r="N3" s="15" t="s">
        <v>10</v>
      </c>
      <c r="O3" s="15" t="s">
        <v>292</v>
      </c>
    </row>
    <row r="4">
      <c r="A4" s="16"/>
      <c r="B4" s="10"/>
      <c r="C4" s="10"/>
      <c r="D4" s="10"/>
      <c r="E4" s="10"/>
      <c r="F4" s="17"/>
      <c r="G4" s="15" t="s">
        <v>301</v>
      </c>
      <c r="H4" s="15" t="s">
        <v>12</v>
      </c>
      <c r="I4" s="15" t="s">
        <v>12</v>
      </c>
      <c r="J4" s="15" t="s">
        <v>12</v>
      </c>
      <c r="K4" s="15" t="s">
        <v>301</v>
      </c>
      <c r="L4" s="15" t="s">
        <v>12</v>
      </c>
      <c r="M4" s="15" t="s">
        <v>12</v>
      </c>
      <c r="N4" s="15" t="s">
        <v>12</v>
      </c>
      <c r="O4" s="15" t="s">
        <v>301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  <c r="M5" s="21"/>
      <c r="N5" s="21"/>
      <c r="O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9" t="s">
        <v>24</v>
      </c>
      <c r="H6" s="29"/>
      <c r="I6" s="29"/>
      <c r="J6" s="244"/>
      <c r="K6" s="29" t="s">
        <v>24</v>
      </c>
      <c r="L6" s="29"/>
      <c r="M6" s="244"/>
      <c r="N6" s="29"/>
      <c r="O6" s="29" t="s">
        <v>24</v>
      </c>
    </row>
    <row r="7">
      <c r="A7" s="32"/>
      <c r="B7" s="32"/>
      <c r="C7" s="142" t="s">
        <v>344</v>
      </c>
      <c r="D7" s="10"/>
      <c r="E7" s="245" t="s">
        <v>96</v>
      </c>
      <c r="F7" s="208" t="s">
        <v>311</v>
      </c>
      <c r="G7" s="29" t="s">
        <v>24</v>
      </c>
      <c r="H7" s="29"/>
      <c r="I7" s="197"/>
      <c r="J7" s="246"/>
      <c r="K7" s="29" t="s">
        <v>24</v>
      </c>
      <c r="L7" s="197"/>
      <c r="M7" s="246"/>
      <c r="N7" s="197"/>
      <c r="O7" s="197" t="s">
        <v>24</v>
      </c>
    </row>
    <row r="8">
      <c r="A8" s="32"/>
      <c r="B8" s="32"/>
      <c r="C8" s="91" t="s">
        <v>345</v>
      </c>
      <c r="D8" s="10"/>
      <c r="E8" s="247" t="s">
        <v>383</v>
      </c>
      <c r="F8" s="17"/>
      <c r="G8" s="29" t="s">
        <v>24</v>
      </c>
      <c r="H8" s="29"/>
      <c r="I8" s="197"/>
      <c r="J8" s="248"/>
      <c r="K8" s="29" t="s">
        <v>24</v>
      </c>
      <c r="L8" s="197"/>
      <c r="M8" s="248"/>
      <c r="N8" s="197"/>
      <c r="O8" s="197" t="s">
        <v>24</v>
      </c>
    </row>
    <row r="9">
      <c r="A9" s="32"/>
      <c r="B9" s="32"/>
      <c r="C9" s="91" t="s">
        <v>347</v>
      </c>
      <c r="D9" s="10"/>
      <c r="E9" s="249" t="s">
        <v>308</v>
      </c>
      <c r="F9" s="17"/>
      <c r="G9" s="29" t="s">
        <v>24</v>
      </c>
      <c r="H9" s="29"/>
      <c r="I9" s="197"/>
      <c r="J9" s="244"/>
      <c r="K9" s="29" t="s">
        <v>24</v>
      </c>
      <c r="L9" s="197"/>
      <c r="M9" s="244"/>
      <c r="N9" s="197"/>
      <c r="O9" s="197" t="s">
        <v>24</v>
      </c>
    </row>
    <row r="10">
      <c r="A10" s="32"/>
      <c r="B10" s="32"/>
      <c r="C10" s="87" t="s">
        <v>348</v>
      </c>
      <c r="D10" s="10"/>
      <c r="E10" s="245" t="s">
        <v>77</v>
      </c>
      <c r="F10" s="17"/>
      <c r="G10" s="29" t="s">
        <v>24</v>
      </c>
      <c r="H10" s="29"/>
      <c r="I10" s="197"/>
      <c r="J10" s="248"/>
      <c r="K10" s="29" t="s">
        <v>24</v>
      </c>
      <c r="L10" s="197"/>
      <c r="M10" s="248"/>
      <c r="N10" s="197"/>
      <c r="O10" s="197" t="s">
        <v>24</v>
      </c>
    </row>
    <row r="11">
      <c r="A11" s="32"/>
      <c r="B11" s="32"/>
      <c r="C11" s="87" t="s">
        <v>349</v>
      </c>
      <c r="D11" s="10"/>
      <c r="E11" s="245" t="s">
        <v>100</v>
      </c>
      <c r="F11" s="212" t="s">
        <v>101</v>
      </c>
      <c r="G11" s="29" t="s">
        <v>24</v>
      </c>
      <c r="H11" s="29"/>
      <c r="I11" s="196"/>
      <c r="J11" s="246"/>
      <c r="K11" s="29" t="s">
        <v>24</v>
      </c>
      <c r="L11" s="196"/>
      <c r="M11" s="246"/>
      <c r="N11" s="196"/>
      <c r="O11" s="196" t="s">
        <v>24</v>
      </c>
    </row>
    <row r="12">
      <c r="A12" s="32"/>
      <c r="B12" s="32"/>
      <c r="C12" s="87" t="s">
        <v>350</v>
      </c>
      <c r="D12" s="10"/>
      <c r="E12" s="10"/>
      <c r="F12" s="212" t="s">
        <v>351</v>
      </c>
      <c r="G12" s="196" t="s">
        <v>384</v>
      </c>
      <c r="H12" s="196"/>
      <c r="I12" s="196"/>
      <c r="J12" s="246"/>
      <c r="K12" s="196" t="s">
        <v>384</v>
      </c>
      <c r="L12" s="196"/>
      <c r="M12" s="246"/>
      <c r="N12" s="196"/>
      <c r="O12" s="196" t="s">
        <v>384</v>
      </c>
    </row>
    <row r="13">
      <c r="A13" s="32"/>
      <c r="B13" s="32"/>
      <c r="C13" s="87" t="s">
        <v>352</v>
      </c>
      <c r="D13" s="10"/>
      <c r="E13" s="10"/>
      <c r="F13" s="213"/>
      <c r="G13" s="197" t="s">
        <v>24</v>
      </c>
      <c r="H13" s="197"/>
      <c r="I13" s="197"/>
      <c r="J13" s="250"/>
      <c r="K13" s="197" t="s">
        <v>24</v>
      </c>
      <c r="L13" s="197"/>
      <c r="M13" s="250"/>
      <c r="N13" s="197"/>
      <c r="O13" s="197" t="s">
        <v>24</v>
      </c>
    </row>
    <row r="14">
      <c r="A14" s="32"/>
      <c r="B14" s="32"/>
      <c r="C14" s="87" t="s">
        <v>353</v>
      </c>
      <c r="D14" s="10"/>
      <c r="E14" s="10"/>
      <c r="F14" s="213"/>
      <c r="G14" s="197" t="s">
        <v>24</v>
      </c>
      <c r="H14" s="197"/>
      <c r="I14" s="197"/>
      <c r="J14" s="246"/>
      <c r="K14" s="197" t="s">
        <v>24</v>
      </c>
      <c r="L14" s="197"/>
      <c r="M14" s="246"/>
      <c r="N14" s="197"/>
      <c r="O14" s="197" t="s">
        <v>24</v>
      </c>
    </row>
    <row r="15">
      <c r="A15" s="32"/>
      <c r="B15" s="32"/>
      <c r="C15" s="77" t="s">
        <v>354</v>
      </c>
      <c r="D15" s="10"/>
      <c r="E15" s="10"/>
      <c r="F15" s="213" t="s">
        <v>83</v>
      </c>
      <c r="G15" s="197" t="s">
        <v>24</v>
      </c>
      <c r="H15" s="197"/>
      <c r="I15" s="197"/>
      <c r="J15" s="248"/>
      <c r="K15" s="197" t="s">
        <v>24</v>
      </c>
      <c r="L15" s="197"/>
      <c r="M15" s="248"/>
      <c r="N15" s="197"/>
      <c r="O15" s="197" t="s">
        <v>24</v>
      </c>
    </row>
    <row r="16">
      <c r="A16" s="32"/>
      <c r="B16" s="32"/>
      <c r="C16" s="214" t="s">
        <v>355</v>
      </c>
      <c r="D16" s="10"/>
      <c r="E16" s="245" t="s">
        <v>34</v>
      </c>
      <c r="F16" s="17"/>
      <c r="G16" s="197" t="s">
        <v>24</v>
      </c>
      <c r="H16" s="197"/>
      <c r="I16" s="197"/>
      <c r="J16" s="244"/>
      <c r="K16" s="197" t="s">
        <v>24</v>
      </c>
      <c r="L16" s="197"/>
      <c r="M16" s="244"/>
      <c r="N16" s="197"/>
      <c r="O16" s="197" t="s">
        <v>24</v>
      </c>
    </row>
    <row r="17">
      <c r="A17" s="32"/>
      <c r="B17" s="32"/>
      <c r="C17" s="87" t="s">
        <v>356</v>
      </c>
      <c r="D17" s="10"/>
      <c r="E17" s="245"/>
      <c r="F17" s="17"/>
      <c r="G17" s="197" t="s">
        <v>24</v>
      </c>
      <c r="H17" s="197"/>
      <c r="I17" s="197"/>
      <c r="J17" s="248"/>
      <c r="K17" s="197"/>
      <c r="L17" s="197"/>
      <c r="M17" s="248"/>
      <c r="N17" s="197"/>
      <c r="O17" s="197"/>
    </row>
    <row r="18">
      <c r="A18" s="32"/>
      <c r="B18" s="32"/>
      <c r="C18" s="77" t="s">
        <v>357</v>
      </c>
      <c r="D18" s="10"/>
      <c r="E18" s="245" t="s">
        <v>34</v>
      </c>
      <c r="F18" s="17"/>
      <c r="G18" s="197" t="s">
        <v>24</v>
      </c>
      <c r="H18" s="197"/>
      <c r="I18" s="197"/>
      <c r="J18" s="248"/>
      <c r="K18" s="197" t="s">
        <v>24</v>
      </c>
      <c r="L18" s="197"/>
      <c r="M18" s="248"/>
      <c r="N18" s="197"/>
      <c r="O18" s="197" t="s">
        <v>24</v>
      </c>
    </row>
    <row r="19">
      <c r="A19" s="32"/>
      <c r="B19" s="32"/>
      <c r="C19" s="87" t="s">
        <v>358</v>
      </c>
      <c r="D19" s="10"/>
      <c r="E19" s="245"/>
      <c r="F19" s="212" t="s">
        <v>38</v>
      </c>
      <c r="G19" s="197" t="s">
        <v>24</v>
      </c>
      <c r="H19" s="197"/>
      <c r="I19" s="197"/>
      <c r="J19" s="251"/>
      <c r="K19" s="197" t="s">
        <v>24</v>
      </c>
      <c r="L19" s="197"/>
      <c r="M19" s="251"/>
      <c r="N19" s="197"/>
      <c r="O19" s="197" t="s">
        <v>24</v>
      </c>
    </row>
    <row r="20">
      <c r="A20" s="32"/>
      <c r="B20" s="32"/>
      <c r="C20" s="129" t="s">
        <v>359</v>
      </c>
      <c r="D20" s="10"/>
      <c r="E20" s="245"/>
      <c r="F20" s="212" t="s">
        <v>38</v>
      </c>
      <c r="G20" s="197" t="s">
        <v>24</v>
      </c>
      <c r="H20" s="197"/>
      <c r="I20" s="197"/>
      <c r="J20" s="251"/>
      <c r="K20" s="197" t="s">
        <v>24</v>
      </c>
      <c r="L20" s="197"/>
      <c r="M20" s="251"/>
      <c r="N20" s="197"/>
      <c r="O20" s="197" t="s">
        <v>24</v>
      </c>
    </row>
    <row r="21">
      <c r="A21" s="32"/>
      <c r="B21" s="32"/>
      <c r="C21" s="87" t="s">
        <v>360</v>
      </c>
      <c r="D21" s="10"/>
      <c r="E21" s="245"/>
      <c r="F21" s="212" t="s">
        <v>38</v>
      </c>
      <c r="G21" s="197" t="s">
        <v>24</v>
      </c>
      <c r="H21" s="197"/>
      <c r="I21" s="197"/>
      <c r="J21" s="251"/>
      <c r="K21" s="197" t="s">
        <v>24</v>
      </c>
      <c r="L21" s="197"/>
      <c r="M21" s="251"/>
      <c r="N21" s="197"/>
      <c r="O21" s="197" t="s">
        <v>24</v>
      </c>
    </row>
    <row r="22">
      <c r="A22" s="32"/>
      <c r="B22" s="37"/>
      <c r="C22" s="87" t="s">
        <v>361</v>
      </c>
      <c r="D22" s="10"/>
      <c r="E22" s="245" t="s">
        <v>100</v>
      </c>
      <c r="F22" s="213" t="s">
        <v>103</v>
      </c>
      <c r="G22" s="196" t="s">
        <v>24</v>
      </c>
      <c r="H22" s="196"/>
      <c r="I22" s="196"/>
      <c r="J22" s="251"/>
      <c r="K22" s="196" t="s">
        <v>24</v>
      </c>
      <c r="L22" s="196"/>
      <c r="M22" s="251"/>
      <c r="N22" s="196"/>
      <c r="O22" s="196" t="s">
        <v>385</v>
      </c>
    </row>
    <row r="23">
      <c r="A23" s="32"/>
      <c r="B23" s="216" t="s">
        <v>362</v>
      </c>
      <c r="C23" s="204" t="s">
        <v>363</v>
      </c>
      <c r="D23" s="10"/>
      <c r="E23" s="10"/>
      <c r="F23" s="213" t="s">
        <v>364</v>
      </c>
      <c r="G23" s="197" t="s">
        <v>24</v>
      </c>
      <c r="H23" s="197"/>
      <c r="I23" s="196"/>
      <c r="J23" s="244"/>
      <c r="K23" s="197" t="s">
        <v>24</v>
      </c>
      <c r="L23" s="196"/>
      <c r="M23" s="244"/>
      <c r="N23" s="197"/>
      <c r="O23" s="196" t="s">
        <v>24</v>
      </c>
    </row>
    <row r="24">
      <c r="A24" s="32"/>
      <c r="B24" s="32"/>
      <c r="C24" s="204" t="s">
        <v>365</v>
      </c>
      <c r="D24" s="10"/>
      <c r="E24" s="10"/>
      <c r="F24" s="212" t="s">
        <v>105</v>
      </c>
      <c r="G24" s="197" t="s">
        <v>24</v>
      </c>
      <c r="H24" s="197"/>
      <c r="I24" s="196"/>
      <c r="J24" s="248"/>
      <c r="K24" s="197" t="s">
        <v>24</v>
      </c>
      <c r="L24" s="196"/>
      <c r="M24" s="248"/>
      <c r="N24" s="197"/>
      <c r="O24" s="196" t="s">
        <v>24</v>
      </c>
    </row>
    <row r="25">
      <c r="A25" s="32"/>
      <c r="B25" s="37"/>
      <c r="C25" s="217" t="s">
        <v>366</v>
      </c>
      <c r="D25" s="10"/>
      <c r="E25" s="10"/>
      <c r="F25" s="212" t="s">
        <v>107</v>
      </c>
      <c r="G25" s="197" t="s">
        <v>24</v>
      </c>
      <c r="H25" s="197"/>
      <c r="I25" s="196"/>
      <c r="J25" s="248"/>
      <c r="K25" s="197" t="s">
        <v>24</v>
      </c>
      <c r="L25" s="196"/>
      <c r="M25" s="248"/>
      <c r="N25" s="197"/>
      <c r="O25" s="196" t="s">
        <v>24</v>
      </c>
    </row>
    <row r="26">
      <c r="A26" s="203" t="s">
        <v>108</v>
      </c>
      <c r="B26" s="102" t="s">
        <v>109</v>
      </c>
      <c r="C26" s="77" t="s">
        <v>110</v>
      </c>
      <c r="D26" s="10"/>
      <c r="E26" s="10"/>
      <c r="F26" s="17"/>
      <c r="G26" s="197" t="s">
        <v>24</v>
      </c>
      <c r="H26" s="197"/>
      <c r="I26" s="196"/>
      <c r="J26" s="248"/>
      <c r="K26" s="197" t="s">
        <v>24</v>
      </c>
      <c r="L26" s="196"/>
      <c r="M26" s="248"/>
      <c r="N26" s="197"/>
      <c r="O26" s="196" t="s">
        <v>24</v>
      </c>
    </row>
    <row r="27">
      <c r="A27" s="32"/>
      <c r="B27" s="32"/>
      <c r="C27" s="77" t="s">
        <v>112</v>
      </c>
      <c r="D27" s="10"/>
      <c r="E27" s="10"/>
      <c r="F27" s="17"/>
      <c r="G27" s="197" t="s">
        <v>24</v>
      </c>
      <c r="H27" s="197"/>
      <c r="I27" s="196"/>
      <c r="J27" s="248"/>
      <c r="K27" s="197" t="s">
        <v>24</v>
      </c>
      <c r="L27" s="196"/>
      <c r="M27" s="248"/>
      <c r="N27" s="197"/>
      <c r="O27" s="196" t="s">
        <v>24</v>
      </c>
    </row>
    <row r="28">
      <c r="A28" s="32"/>
      <c r="B28" s="32"/>
      <c r="C28" s="80" t="s">
        <v>367</v>
      </c>
      <c r="D28" s="10"/>
      <c r="E28" s="243"/>
      <c r="F28" s="212" t="s">
        <v>38</v>
      </c>
      <c r="G28" s="197" t="s">
        <v>24</v>
      </c>
      <c r="H28" s="197"/>
      <c r="I28" s="196"/>
      <c r="J28" s="248"/>
      <c r="K28" s="197" t="s">
        <v>24</v>
      </c>
      <c r="L28" s="196"/>
      <c r="M28" s="248"/>
      <c r="N28" s="197"/>
      <c r="O28" s="196" t="s">
        <v>24</v>
      </c>
    </row>
    <row r="29">
      <c r="A29" s="32"/>
      <c r="B29" s="32"/>
      <c r="C29" s="83" t="s">
        <v>114</v>
      </c>
      <c r="D29" s="10"/>
      <c r="E29" s="243" t="s">
        <v>115</v>
      </c>
      <c r="F29" s="17"/>
      <c r="G29" s="197" t="s">
        <v>24</v>
      </c>
      <c r="H29" s="197"/>
      <c r="I29" s="196"/>
      <c r="J29" s="248"/>
      <c r="K29" s="197" t="s">
        <v>24</v>
      </c>
      <c r="L29" s="196"/>
      <c r="M29" s="248"/>
      <c r="N29" s="197"/>
      <c r="O29" s="196" t="s">
        <v>24</v>
      </c>
    </row>
    <row r="30">
      <c r="A30" s="32"/>
      <c r="B30" s="32"/>
      <c r="C30" s="85" t="s">
        <v>116</v>
      </c>
      <c r="D30" s="10"/>
      <c r="E30" s="10"/>
      <c r="F30" s="213" t="s">
        <v>117</v>
      </c>
      <c r="G30" s="197" t="s">
        <v>24</v>
      </c>
      <c r="H30" s="197"/>
      <c r="I30" s="196"/>
      <c r="J30" s="248"/>
      <c r="K30" s="197" t="s">
        <v>24</v>
      </c>
      <c r="L30" s="196"/>
      <c r="M30" s="248"/>
      <c r="N30" s="197"/>
      <c r="O30" s="196" t="s">
        <v>24</v>
      </c>
    </row>
    <row r="31">
      <c r="A31" s="32"/>
      <c r="B31" s="32"/>
      <c r="C31" s="87" t="s">
        <v>118</v>
      </c>
      <c r="D31" s="10"/>
      <c r="E31" s="252" t="s">
        <v>386</v>
      </c>
      <c r="F31" s="213"/>
      <c r="G31" s="197" t="s">
        <v>24</v>
      </c>
      <c r="H31" s="197"/>
      <c r="I31" s="196"/>
      <c r="J31" s="248"/>
      <c r="K31" s="197" t="s">
        <v>24</v>
      </c>
      <c r="L31" s="196"/>
      <c r="M31" s="248"/>
      <c r="N31" s="197"/>
      <c r="O31" s="196" t="s">
        <v>24</v>
      </c>
    </row>
    <row r="32">
      <c r="A32" s="32"/>
      <c r="B32" s="32"/>
      <c r="C32" s="90" t="s">
        <v>120</v>
      </c>
      <c r="D32" s="10"/>
      <c r="E32" s="252" t="s">
        <v>121</v>
      </c>
      <c r="F32" s="213" t="s">
        <v>122</v>
      </c>
      <c r="G32" s="197" t="s">
        <v>24</v>
      </c>
      <c r="H32" s="197"/>
      <c r="I32" s="196"/>
      <c r="J32" s="248"/>
      <c r="K32" s="197" t="s">
        <v>24</v>
      </c>
      <c r="L32" s="196"/>
      <c r="M32" s="248"/>
      <c r="N32" s="197"/>
      <c r="O32" s="196" t="s">
        <v>24</v>
      </c>
    </row>
    <row r="33">
      <c r="A33" s="32"/>
      <c r="B33" s="32"/>
      <c r="C33" s="91" t="s">
        <v>123</v>
      </c>
      <c r="D33" s="10"/>
      <c r="E33" s="10"/>
      <c r="F33" s="213" t="s">
        <v>124</v>
      </c>
      <c r="G33" s="197" t="s">
        <v>24</v>
      </c>
      <c r="H33" s="197"/>
      <c r="I33" s="196"/>
      <c r="J33" s="253"/>
      <c r="K33" s="197" t="s">
        <v>24</v>
      </c>
      <c r="L33" s="196"/>
      <c r="M33" s="253"/>
      <c r="N33" s="197"/>
      <c r="O33" s="196" t="s">
        <v>24</v>
      </c>
    </row>
    <row r="34">
      <c r="A34" s="32"/>
      <c r="B34" s="32"/>
      <c r="C34" s="92" t="s">
        <v>125</v>
      </c>
      <c r="D34" s="10"/>
      <c r="E34" s="10"/>
      <c r="F34" s="213" t="s">
        <v>126</v>
      </c>
      <c r="G34" s="197" t="s">
        <v>24</v>
      </c>
      <c r="H34" s="197"/>
      <c r="I34" s="196"/>
      <c r="J34" s="248"/>
      <c r="K34" s="197" t="s">
        <v>24</v>
      </c>
      <c r="L34" s="196"/>
      <c r="M34" s="248"/>
      <c r="N34" s="197"/>
      <c r="O34" s="196" t="s">
        <v>24</v>
      </c>
    </row>
    <row r="35">
      <c r="A35" s="32"/>
      <c r="B35" s="32"/>
      <c r="C35" s="77" t="s">
        <v>127</v>
      </c>
      <c r="D35" s="10"/>
      <c r="E35" s="10"/>
      <c r="F35" s="213" t="s">
        <v>128</v>
      </c>
      <c r="G35" s="197" t="s">
        <v>24</v>
      </c>
      <c r="H35" s="197"/>
      <c r="I35" s="196"/>
      <c r="J35" s="248"/>
      <c r="K35" s="197" t="s">
        <v>24</v>
      </c>
      <c r="L35" s="196"/>
      <c r="M35" s="248"/>
      <c r="N35" s="197"/>
      <c r="O35" s="196" t="s">
        <v>24</v>
      </c>
    </row>
    <row r="36">
      <c r="A36" s="32"/>
      <c r="B36" s="32"/>
      <c r="C36" s="93" t="s">
        <v>129</v>
      </c>
      <c r="D36" s="10"/>
      <c r="E36" s="245" t="s">
        <v>313</v>
      </c>
      <c r="F36" s="17"/>
      <c r="G36" s="197" t="s">
        <v>24</v>
      </c>
      <c r="H36" s="197"/>
      <c r="I36" s="196"/>
      <c r="J36" s="244"/>
      <c r="K36" s="197" t="s">
        <v>24</v>
      </c>
      <c r="L36" s="196"/>
      <c r="M36" s="244"/>
      <c r="N36" s="197"/>
      <c r="O36" s="196" t="s">
        <v>24</v>
      </c>
    </row>
    <row r="37">
      <c r="A37" s="32"/>
      <c r="B37" s="32"/>
      <c r="C37" s="92" t="s">
        <v>368</v>
      </c>
      <c r="D37" s="10"/>
      <c r="E37" s="10"/>
      <c r="F37" s="17"/>
      <c r="G37" s="197" t="s">
        <v>24</v>
      </c>
      <c r="H37" s="197"/>
      <c r="I37" s="196"/>
      <c r="J37" s="248"/>
      <c r="K37" s="197" t="s">
        <v>24</v>
      </c>
      <c r="L37" s="196"/>
      <c r="M37" s="248"/>
      <c r="N37" s="197"/>
      <c r="O37" s="196" t="s">
        <v>24</v>
      </c>
    </row>
    <row r="38">
      <c r="A38" s="32"/>
      <c r="B38" s="32"/>
      <c r="C38" s="96" t="s">
        <v>132</v>
      </c>
      <c r="D38" s="10"/>
      <c r="E38" s="10"/>
      <c r="F38" s="220" t="s">
        <v>133</v>
      </c>
      <c r="G38" s="196" t="s">
        <v>387</v>
      </c>
      <c r="H38" s="196"/>
      <c r="I38" s="196"/>
      <c r="J38" s="253"/>
      <c r="K38" s="196" t="s">
        <v>387</v>
      </c>
      <c r="L38" s="196"/>
      <c r="M38" s="253"/>
      <c r="N38" s="197"/>
      <c r="O38" s="196" t="s">
        <v>387</v>
      </c>
    </row>
    <row r="39">
      <c r="A39" s="32"/>
      <c r="B39" s="32"/>
      <c r="C39" s="98" t="s">
        <v>134</v>
      </c>
      <c r="D39" s="10"/>
      <c r="E39" s="10"/>
      <c r="F39" s="221" t="s">
        <v>136</v>
      </c>
      <c r="G39" s="199" t="s">
        <v>24</v>
      </c>
      <c r="H39" s="199"/>
      <c r="I39" s="199"/>
      <c r="J39" s="244"/>
      <c r="K39" s="199" t="s">
        <v>24</v>
      </c>
      <c r="L39" s="199"/>
      <c r="M39" s="244"/>
      <c r="N39" s="199"/>
      <c r="O39" s="199" t="s">
        <v>24</v>
      </c>
    </row>
    <row r="40">
      <c r="A40" s="32"/>
      <c r="B40" s="32"/>
      <c r="C40" s="92" t="s">
        <v>137</v>
      </c>
      <c r="D40" s="10"/>
      <c r="E40" s="10"/>
      <c r="F40" s="17"/>
      <c r="G40" s="199" t="s">
        <v>24</v>
      </c>
      <c r="H40" s="199"/>
      <c r="I40" s="42"/>
      <c r="J40" s="248"/>
      <c r="K40" s="199" t="s">
        <v>24</v>
      </c>
      <c r="L40" s="42"/>
      <c r="M40" s="248"/>
      <c r="N40" s="197"/>
      <c r="O40" s="195" t="s">
        <v>24</v>
      </c>
    </row>
    <row r="41">
      <c r="A41" s="32"/>
      <c r="B41" s="32"/>
      <c r="C41" s="92" t="s">
        <v>138</v>
      </c>
      <c r="D41" s="10"/>
      <c r="E41" s="10"/>
      <c r="F41" s="17"/>
      <c r="G41" s="199" t="s">
        <v>24</v>
      </c>
      <c r="H41" s="199"/>
      <c r="I41" s="254"/>
      <c r="J41" s="248"/>
      <c r="K41" s="199" t="s">
        <v>24</v>
      </c>
      <c r="L41" s="254"/>
      <c r="M41" s="248"/>
      <c r="N41" s="197"/>
      <c r="O41" s="255" t="s">
        <v>24</v>
      </c>
    </row>
    <row r="42">
      <c r="A42" s="32"/>
      <c r="B42" s="37"/>
      <c r="C42" s="101" t="s">
        <v>139</v>
      </c>
      <c r="D42" s="10"/>
      <c r="E42" s="10"/>
      <c r="F42" s="17"/>
      <c r="G42" s="199" t="s">
        <v>24</v>
      </c>
      <c r="H42" s="199"/>
      <c r="I42" s="254"/>
      <c r="J42" s="248"/>
      <c r="K42" s="199" t="s">
        <v>24</v>
      </c>
      <c r="L42" s="254"/>
      <c r="M42" s="248"/>
      <c r="N42" s="197"/>
      <c r="O42" s="255" t="s">
        <v>24</v>
      </c>
    </row>
    <row r="43">
      <c r="A43" s="32"/>
      <c r="B43" s="102" t="s">
        <v>140</v>
      </c>
      <c r="C43" s="103" t="s">
        <v>141</v>
      </c>
      <c r="D43" s="245"/>
      <c r="E43" s="245" t="s">
        <v>388</v>
      </c>
      <c r="F43" s="17"/>
      <c r="G43" s="199" t="s">
        <v>24</v>
      </c>
      <c r="H43" s="199"/>
      <c r="I43" s="254"/>
      <c r="J43" s="244"/>
      <c r="K43" s="199" t="s">
        <v>24</v>
      </c>
      <c r="L43" s="254"/>
      <c r="M43" s="244"/>
      <c r="N43" s="197"/>
      <c r="O43" s="255" t="s">
        <v>24</v>
      </c>
    </row>
    <row r="44">
      <c r="A44" s="32"/>
      <c r="B44" s="32"/>
      <c r="C44" s="106" t="s">
        <v>145</v>
      </c>
      <c r="D44" s="10"/>
      <c r="E44" s="10"/>
      <c r="F44" s="213"/>
      <c r="G44" s="199" t="s">
        <v>24</v>
      </c>
      <c r="H44" s="199"/>
      <c r="I44" s="254"/>
      <c r="J44" s="244"/>
      <c r="K44" s="199" t="s">
        <v>24</v>
      </c>
      <c r="L44" s="254"/>
      <c r="M44" s="244"/>
      <c r="N44" s="197"/>
      <c r="O44" s="255" t="s">
        <v>24</v>
      </c>
    </row>
    <row r="45">
      <c r="A45" s="32"/>
      <c r="B45" s="32"/>
      <c r="C45" s="93" t="s">
        <v>146</v>
      </c>
      <c r="D45" s="10"/>
      <c r="E45" s="10"/>
      <c r="F45" s="213" t="s">
        <v>147</v>
      </c>
      <c r="G45" s="199" t="s">
        <v>24</v>
      </c>
      <c r="H45" s="199"/>
      <c r="I45" s="254"/>
      <c r="J45" s="244"/>
      <c r="K45" s="199" t="s">
        <v>24</v>
      </c>
      <c r="L45" s="254"/>
      <c r="M45" s="244"/>
      <c r="N45" s="197"/>
      <c r="O45" s="255" t="s">
        <v>24</v>
      </c>
    </row>
    <row r="46">
      <c r="A46" s="32"/>
      <c r="B46" s="32"/>
      <c r="C46" s="107" t="s">
        <v>148</v>
      </c>
      <c r="D46" s="10"/>
      <c r="E46" s="10"/>
      <c r="F46" s="213" t="s">
        <v>149</v>
      </c>
      <c r="G46" s="196" t="s">
        <v>200</v>
      </c>
      <c r="H46" s="196"/>
      <c r="I46" s="196"/>
      <c r="J46" s="244"/>
      <c r="K46" s="196" t="s">
        <v>200</v>
      </c>
      <c r="L46" s="196"/>
      <c r="M46" s="244"/>
      <c r="N46" s="196"/>
      <c r="O46" s="196" t="s">
        <v>200</v>
      </c>
    </row>
    <row r="47">
      <c r="A47" s="32"/>
      <c r="B47" s="32"/>
      <c r="C47" s="108" t="s">
        <v>150</v>
      </c>
      <c r="D47" s="10"/>
      <c r="E47" s="10"/>
      <c r="F47" s="213" t="s">
        <v>149</v>
      </c>
      <c r="G47" s="197" t="s">
        <v>24</v>
      </c>
      <c r="H47" s="197"/>
      <c r="I47" s="197"/>
      <c r="J47" s="248"/>
      <c r="K47" s="197" t="s">
        <v>24</v>
      </c>
      <c r="L47" s="197"/>
      <c r="M47" s="248"/>
      <c r="N47" s="197"/>
      <c r="O47" s="197" t="s">
        <v>24</v>
      </c>
    </row>
    <row r="48">
      <c r="A48" s="32"/>
      <c r="B48" s="32"/>
      <c r="C48" s="109" t="s">
        <v>151</v>
      </c>
      <c r="D48" s="10"/>
      <c r="E48" s="10"/>
      <c r="F48" s="212" t="s">
        <v>153</v>
      </c>
      <c r="G48" s="197" t="s">
        <v>24</v>
      </c>
      <c r="H48" s="197"/>
      <c r="I48" s="197"/>
      <c r="J48" s="248"/>
      <c r="K48" s="197" t="s">
        <v>24</v>
      </c>
      <c r="L48" s="197"/>
      <c r="M48" s="248"/>
      <c r="N48" s="197"/>
      <c r="O48" s="197" t="s">
        <v>24</v>
      </c>
    </row>
    <row r="49">
      <c r="A49" s="32"/>
      <c r="B49" s="32"/>
      <c r="C49" s="110" t="s">
        <v>154</v>
      </c>
      <c r="D49" s="10"/>
      <c r="E49" s="10"/>
      <c r="F49" s="17"/>
      <c r="G49" s="197" t="s">
        <v>24</v>
      </c>
      <c r="H49" s="197"/>
      <c r="I49" s="197"/>
      <c r="J49" s="248"/>
      <c r="K49" s="197" t="s">
        <v>24</v>
      </c>
      <c r="L49" s="197"/>
      <c r="M49" s="248"/>
      <c r="N49" s="197"/>
      <c r="O49" s="197" t="s">
        <v>24</v>
      </c>
    </row>
    <row r="50">
      <c r="A50" s="32"/>
      <c r="B50" s="32"/>
      <c r="C50" s="111" t="s">
        <v>155</v>
      </c>
      <c r="D50" s="10"/>
      <c r="E50" s="10"/>
      <c r="F50" s="221" t="s">
        <v>156</v>
      </c>
      <c r="G50" s="197" t="s">
        <v>24</v>
      </c>
      <c r="H50" s="197"/>
      <c r="I50" s="199"/>
      <c r="J50" s="251"/>
      <c r="K50" s="197" t="s">
        <v>24</v>
      </c>
      <c r="L50" s="199"/>
      <c r="M50" s="251"/>
      <c r="N50" s="199"/>
      <c r="O50" s="199" t="s">
        <v>24</v>
      </c>
    </row>
    <row r="51">
      <c r="A51" s="32"/>
      <c r="B51" s="32"/>
      <c r="C51" s="112" t="s">
        <v>157</v>
      </c>
      <c r="D51" s="10"/>
      <c r="E51" s="243" t="s">
        <v>158</v>
      </c>
      <c r="F51" s="17"/>
      <c r="G51" s="197" t="s">
        <v>24</v>
      </c>
      <c r="H51" s="197"/>
      <c r="I51" s="197"/>
      <c r="J51" s="248"/>
      <c r="K51" s="197" t="s">
        <v>24</v>
      </c>
      <c r="L51" s="197"/>
      <c r="M51" s="248"/>
      <c r="N51" s="197"/>
      <c r="O51" s="197" t="s">
        <v>24</v>
      </c>
    </row>
    <row r="52">
      <c r="A52" s="32"/>
      <c r="B52" s="32"/>
      <c r="C52" s="83" t="s">
        <v>159</v>
      </c>
      <c r="D52" s="10"/>
      <c r="E52" s="10"/>
      <c r="F52" s="17"/>
      <c r="G52" s="197" t="s">
        <v>24</v>
      </c>
      <c r="H52" s="197"/>
      <c r="I52" s="197"/>
      <c r="J52" s="248"/>
      <c r="K52" s="197" t="s">
        <v>24</v>
      </c>
      <c r="L52" s="197"/>
      <c r="M52" s="248"/>
      <c r="N52" s="197"/>
      <c r="O52" s="197" t="s">
        <v>24</v>
      </c>
    </row>
    <row r="53">
      <c r="A53" s="32"/>
      <c r="B53" s="32"/>
      <c r="C53" s="93" t="s">
        <v>161</v>
      </c>
      <c r="D53" s="10"/>
      <c r="E53" s="10"/>
      <c r="F53" s="17"/>
      <c r="G53" s="197" t="s">
        <v>24</v>
      </c>
      <c r="H53" s="197"/>
      <c r="I53" s="197"/>
      <c r="J53" s="248"/>
      <c r="K53" s="197" t="s">
        <v>24</v>
      </c>
      <c r="L53" s="197"/>
      <c r="M53" s="248"/>
      <c r="N53" s="197"/>
      <c r="O53" s="197" t="s">
        <v>24</v>
      </c>
    </row>
    <row r="54">
      <c r="A54" s="32"/>
      <c r="B54" s="32"/>
      <c r="C54" s="93" t="s">
        <v>162</v>
      </c>
      <c r="D54" s="10"/>
      <c r="E54" s="10"/>
      <c r="F54" s="223"/>
      <c r="G54" s="197" t="s">
        <v>24</v>
      </c>
      <c r="H54" s="197"/>
      <c r="I54" s="197"/>
      <c r="J54" s="244"/>
      <c r="K54" s="197" t="s">
        <v>24</v>
      </c>
      <c r="L54" s="197"/>
      <c r="M54" s="244"/>
      <c r="N54" s="196"/>
      <c r="O54" s="197" t="s">
        <v>24</v>
      </c>
    </row>
    <row r="55">
      <c r="A55" s="32"/>
      <c r="B55" s="32"/>
      <c r="C55" s="106" t="s">
        <v>164</v>
      </c>
      <c r="D55" s="10"/>
      <c r="E55" s="10"/>
      <c r="F55" s="224" t="s">
        <v>165</v>
      </c>
      <c r="G55" s="197" t="s">
        <v>24</v>
      </c>
      <c r="H55" s="197"/>
      <c r="I55" s="197"/>
      <c r="J55" s="244"/>
      <c r="K55" s="197" t="s">
        <v>24</v>
      </c>
      <c r="L55" s="197"/>
      <c r="M55" s="244"/>
      <c r="N55" s="197"/>
      <c r="O55" s="197" t="s">
        <v>24</v>
      </c>
    </row>
    <row r="56">
      <c r="A56" s="32"/>
      <c r="B56" s="32"/>
      <c r="C56" s="106" t="s">
        <v>166</v>
      </c>
      <c r="D56" s="10"/>
      <c r="E56" s="10"/>
      <c r="F56" s="212" t="s">
        <v>167</v>
      </c>
      <c r="G56" s="197" t="s">
        <v>24</v>
      </c>
      <c r="H56" s="197"/>
      <c r="I56" s="197"/>
      <c r="J56" s="244"/>
      <c r="K56" s="197" t="s">
        <v>24</v>
      </c>
      <c r="L56" s="197"/>
      <c r="M56" s="244"/>
      <c r="N56" s="197"/>
      <c r="O56" s="197" t="s">
        <v>24</v>
      </c>
    </row>
    <row r="57">
      <c r="A57" s="32"/>
      <c r="B57" s="37"/>
      <c r="C57" s="93" t="s">
        <v>168</v>
      </c>
      <c r="D57" s="10"/>
      <c r="E57" s="10"/>
      <c r="F57" s="17"/>
      <c r="G57" s="197" t="s">
        <v>24</v>
      </c>
      <c r="H57" s="197"/>
      <c r="I57" s="197"/>
      <c r="J57" s="244"/>
      <c r="K57" s="197" t="s">
        <v>24</v>
      </c>
      <c r="L57" s="197"/>
      <c r="M57" s="244"/>
      <c r="N57" s="197"/>
      <c r="O57" s="197" t="s">
        <v>24</v>
      </c>
    </row>
    <row r="58">
      <c r="A58" s="32"/>
      <c r="B58" s="115" t="s">
        <v>169</v>
      </c>
      <c r="C58" s="85" t="s">
        <v>141</v>
      </c>
      <c r="D58" s="10"/>
      <c r="E58" s="10"/>
      <c r="F58" s="213" t="s">
        <v>170</v>
      </c>
      <c r="G58" s="197" t="s">
        <v>24</v>
      </c>
      <c r="H58" s="197"/>
      <c r="I58" s="197"/>
      <c r="J58" s="244"/>
      <c r="K58" s="197" t="s">
        <v>24</v>
      </c>
      <c r="L58" s="197"/>
      <c r="M58" s="244"/>
      <c r="N58" s="197"/>
      <c r="O58" s="197" t="s">
        <v>24</v>
      </c>
    </row>
    <row r="59">
      <c r="A59" s="32"/>
      <c r="B59" s="32"/>
      <c r="C59" s="85" t="s">
        <v>171</v>
      </c>
      <c r="D59" s="256" t="s">
        <v>334</v>
      </c>
      <c r="E59" s="10"/>
      <c r="F59" s="212" t="s">
        <v>173</v>
      </c>
      <c r="G59" s="197" t="s">
        <v>24</v>
      </c>
      <c r="H59" s="197"/>
      <c r="I59" s="197"/>
      <c r="J59" s="244"/>
      <c r="K59" s="197" t="s">
        <v>24</v>
      </c>
      <c r="L59" s="197"/>
      <c r="M59" s="244"/>
      <c r="N59" s="197"/>
      <c r="O59" s="197" t="s">
        <v>24</v>
      </c>
    </row>
    <row r="60">
      <c r="A60" s="32"/>
      <c r="B60" s="32"/>
      <c r="C60" s="116" t="s">
        <v>315</v>
      </c>
      <c r="D60" s="10"/>
      <c r="E60" s="10"/>
      <c r="F60" s="225" t="s">
        <v>176</v>
      </c>
      <c r="G60" s="197" t="s">
        <v>24</v>
      </c>
      <c r="H60" s="197"/>
      <c r="I60" s="197"/>
      <c r="J60" s="244"/>
      <c r="K60" s="197" t="s">
        <v>24</v>
      </c>
      <c r="L60" s="197"/>
      <c r="M60" s="244"/>
      <c r="N60" s="197"/>
      <c r="O60" s="197" t="s">
        <v>24</v>
      </c>
    </row>
    <row r="61">
      <c r="A61" s="32"/>
      <c r="B61" s="37"/>
      <c r="C61" s="77" t="s">
        <v>177</v>
      </c>
      <c r="D61" s="10"/>
      <c r="E61" s="10"/>
      <c r="F61" s="17"/>
      <c r="G61" s="197" t="s">
        <v>24</v>
      </c>
      <c r="H61" s="197"/>
      <c r="I61" s="197"/>
      <c r="J61" s="248"/>
      <c r="K61" s="197" t="s">
        <v>24</v>
      </c>
      <c r="L61" s="197"/>
      <c r="M61" s="248"/>
      <c r="N61" s="197"/>
      <c r="O61" s="197" t="s">
        <v>24</v>
      </c>
    </row>
    <row r="62">
      <c r="A62" s="32"/>
      <c r="B62" s="102" t="s">
        <v>178</v>
      </c>
      <c r="C62" s="93" t="s">
        <v>179</v>
      </c>
      <c r="D62" s="10"/>
      <c r="E62" s="10"/>
      <c r="F62" s="17"/>
      <c r="G62" s="197" t="s">
        <v>24</v>
      </c>
      <c r="H62" s="197"/>
      <c r="I62" s="197"/>
      <c r="J62" s="248"/>
      <c r="K62" s="197" t="s">
        <v>24</v>
      </c>
      <c r="L62" s="197"/>
      <c r="M62" s="248"/>
      <c r="N62" s="197"/>
      <c r="O62" s="197" t="s">
        <v>24</v>
      </c>
    </row>
    <row r="63">
      <c r="A63" s="32"/>
      <c r="B63" s="32"/>
      <c r="C63" s="93" t="s">
        <v>141</v>
      </c>
      <c r="D63" s="10"/>
      <c r="E63" s="10"/>
      <c r="F63" s="17"/>
      <c r="G63" s="197" t="s">
        <v>24</v>
      </c>
      <c r="H63" s="197"/>
      <c r="I63" s="197"/>
      <c r="J63" s="248"/>
      <c r="K63" s="197" t="s">
        <v>24</v>
      </c>
      <c r="L63" s="197"/>
      <c r="M63" s="248"/>
      <c r="N63" s="197"/>
      <c r="O63" s="197" t="s">
        <v>24</v>
      </c>
    </row>
    <row r="64">
      <c r="A64" s="32"/>
      <c r="B64" s="32"/>
      <c r="C64" s="106" t="s">
        <v>181</v>
      </c>
      <c r="D64" s="10"/>
      <c r="E64" s="10"/>
      <c r="F64" s="213" t="s">
        <v>182</v>
      </c>
      <c r="G64" s="197" t="s">
        <v>24</v>
      </c>
      <c r="H64" s="197"/>
      <c r="I64" s="197"/>
      <c r="J64" s="248"/>
      <c r="K64" s="197" t="s">
        <v>24</v>
      </c>
      <c r="L64" s="197"/>
      <c r="M64" s="248"/>
      <c r="N64" s="197"/>
      <c r="O64" s="197" t="s">
        <v>24</v>
      </c>
    </row>
    <row r="65">
      <c r="A65" s="32"/>
      <c r="B65" s="32"/>
      <c r="C65" s="93" t="s">
        <v>183</v>
      </c>
      <c r="D65" s="10"/>
      <c r="E65" s="10"/>
      <c r="F65" s="17"/>
      <c r="G65" s="197" t="s">
        <v>24</v>
      </c>
      <c r="H65" s="197"/>
      <c r="I65" s="197"/>
      <c r="J65" s="248"/>
      <c r="K65" s="197" t="s">
        <v>24</v>
      </c>
      <c r="L65" s="197"/>
      <c r="M65" s="248"/>
      <c r="N65" s="197"/>
      <c r="O65" s="197" t="s">
        <v>24</v>
      </c>
    </row>
    <row r="66">
      <c r="A66" s="32"/>
      <c r="B66" s="32"/>
      <c r="C66" s="93" t="s">
        <v>184</v>
      </c>
      <c r="D66" s="10"/>
      <c r="E66" s="10"/>
      <c r="F66" s="17"/>
      <c r="G66" s="197" t="s">
        <v>24</v>
      </c>
      <c r="H66" s="197"/>
      <c r="I66" s="197"/>
      <c r="J66" s="248"/>
      <c r="K66" s="197" t="s">
        <v>24</v>
      </c>
      <c r="L66" s="197"/>
      <c r="M66" s="248"/>
      <c r="N66" s="197"/>
      <c r="O66" s="197" t="s">
        <v>24</v>
      </c>
    </row>
    <row r="67">
      <c r="A67" s="32"/>
      <c r="B67" s="32"/>
      <c r="C67" s="106" t="s">
        <v>185</v>
      </c>
      <c r="D67" s="10"/>
      <c r="E67" s="10"/>
      <c r="F67" s="213" t="s">
        <v>186</v>
      </c>
      <c r="G67" s="197" t="s">
        <v>24</v>
      </c>
      <c r="H67" s="197"/>
      <c r="I67" s="197"/>
      <c r="J67" s="248"/>
      <c r="K67" s="197" t="s">
        <v>24</v>
      </c>
      <c r="L67" s="197"/>
      <c r="M67" s="248"/>
      <c r="N67" s="197"/>
      <c r="O67" s="197" t="s">
        <v>24</v>
      </c>
    </row>
    <row r="68">
      <c r="A68" s="32"/>
      <c r="B68" s="32"/>
      <c r="C68" s="87" t="s">
        <v>187</v>
      </c>
      <c r="D68" s="10"/>
      <c r="E68" s="10"/>
      <c r="F68" s="17"/>
      <c r="G68" s="197" t="s">
        <v>24</v>
      </c>
      <c r="H68" s="197"/>
      <c r="I68" s="197"/>
      <c r="J68" s="248"/>
      <c r="K68" s="197" t="s">
        <v>24</v>
      </c>
      <c r="L68" s="197"/>
      <c r="M68" s="248"/>
      <c r="N68" s="197"/>
      <c r="O68" s="197" t="s">
        <v>24</v>
      </c>
    </row>
    <row r="69">
      <c r="A69" s="32"/>
      <c r="B69" s="32"/>
      <c r="C69" s="87" t="s">
        <v>188</v>
      </c>
      <c r="D69" s="10"/>
      <c r="E69" s="10"/>
      <c r="F69" s="212" t="s">
        <v>189</v>
      </c>
      <c r="G69" s="197" t="s">
        <v>24</v>
      </c>
      <c r="H69" s="197"/>
      <c r="I69" s="197"/>
      <c r="J69" s="248"/>
      <c r="K69" s="197" t="s">
        <v>24</v>
      </c>
      <c r="L69" s="197"/>
      <c r="M69" s="248"/>
      <c r="N69" s="197"/>
      <c r="O69" s="197" t="s">
        <v>24</v>
      </c>
    </row>
    <row r="70">
      <c r="A70" s="32"/>
      <c r="B70" s="32"/>
      <c r="C70" s="77" t="s">
        <v>190</v>
      </c>
      <c r="D70" s="10"/>
      <c r="E70" s="10"/>
      <c r="F70" s="17"/>
      <c r="G70" s="196" t="s">
        <v>389</v>
      </c>
      <c r="H70" s="196"/>
      <c r="I70" s="196"/>
      <c r="J70" s="246"/>
      <c r="K70" s="196" t="s">
        <v>389</v>
      </c>
      <c r="L70" s="196"/>
      <c r="M70" s="246"/>
      <c r="N70" s="196"/>
      <c r="O70" s="196" t="s">
        <v>389</v>
      </c>
    </row>
    <row r="71">
      <c r="A71" s="32"/>
      <c r="B71" s="32"/>
      <c r="C71" s="106" t="s">
        <v>191</v>
      </c>
      <c r="D71" s="10"/>
      <c r="E71" s="10"/>
      <c r="F71" s="213" t="s">
        <v>192</v>
      </c>
      <c r="G71" s="197" t="s">
        <v>24</v>
      </c>
      <c r="H71" s="197"/>
      <c r="I71" s="42"/>
      <c r="J71" s="248"/>
      <c r="K71" s="197" t="s">
        <v>24</v>
      </c>
      <c r="L71" s="42"/>
      <c r="M71" s="248"/>
      <c r="N71" s="197"/>
      <c r="O71" s="195" t="s">
        <v>24</v>
      </c>
    </row>
    <row r="72">
      <c r="A72" s="32"/>
      <c r="B72" s="32"/>
      <c r="C72" s="106" t="s">
        <v>193</v>
      </c>
      <c r="D72" s="10"/>
      <c r="E72" s="10"/>
      <c r="F72" s="17"/>
      <c r="G72" s="197" t="s">
        <v>24</v>
      </c>
      <c r="H72" s="197"/>
      <c r="I72" s="254"/>
      <c r="J72" s="248"/>
      <c r="K72" s="197" t="s">
        <v>24</v>
      </c>
      <c r="L72" s="254"/>
      <c r="M72" s="248"/>
      <c r="N72" s="197"/>
      <c r="O72" s="255" t="s">
        <v>24</v>
      </c>
    </row>
    <row r="73">
      <c r="A73" s="32"/>
      <c r="B73" s="32"/>
      <c r="C73" s="93" t="s">
        <v>194</v>
      </c>
      <c r="D73" s="10"/>
      <c r="E73" s="10"/>
      <c r="F73" s="17"/>
      <c r="G73" s="197" t="s">
        <v>24</v>
      </c>
      <c r="H73" s="197"/>
      <c r="I73" s="254"/>
      <c r="J73" s="248"/>
      <c r="K73" s="197" t="s">
        <v>24</v>
      </c>
      <c r="L73" s="254"/>
      <c r="M73" s="248"/>
      <c r="N73" s="197"/>
      <c r="O73" s="255" t="s">
        <v>24</v>
      </c>
    </row>
    <row r="74">
      <c r="A74" s="32"/>
      <c r="B74" s="32"/>
      <c r="C74" s="103" t="s">
        <v>195</v>
      </c>
      <c r="D74" s="10"/>
      <c r="E74" s="10"/>
      <c r="F74" s="213" t="s">
        <v>196</v>
      </c>
      <c r="G74" s="197" t="s">
        <v>24</v>
      </c>
      <c r="H74" s="197"/>
      <c r="I74" s="254"/>
      <c r="J74" s="248"/>
      <c r="K74" s="197" t="s">
        <v>24</v>
      </c>
      <c r="L74" s="254"/>
      <c r="M74" s="248"/>
      <c r="N74" s="197"/>
      <c r="O74" s="255" t="s">
        <v>24</v>
      </c>
    </row>
    <row r="75">
      <c r="A75" s="32"/>
      <c r="B75" s="32"/>
      <c r="C75" s="93" t="s">
        <v>197</v>
      </c>
      <c r="D75" s="10"/>
      <c r="E75" s="10"/>
      <c r="F75" s="213" t="s">
        <v>196</v>
      </c>
      <c r="G75" s="197" t="s">
        <v>24</v>
      </c>
      <c r="H75" s="197"/>
      <c r="I75" s="254"/>
      <c r="J75" s="248"/>
      <c r="K75" s="197" t="s">
        <v>24</v>
      </c>
      <c r="L75" s="254"/>
      <c r="M75" s="248"/>
      <c r="N75" s="197"/>
      <c r="O75" s="255" t="s">
        <v>24</v>
      </c>
    </row>
    <row r="76">
      <c r="A76" s="32"/>
      <c r="B76" s="32"/>
      <c r="C76" s="226" t="s">
        <v>198</v>
      </c>
      <c r="D76" s="10"/>
      <c r="E76" s="10"/>
      <c r="F76" s="213" t="s">
        <v>196</v>
      </c>
      <c r="G76" s="197" t="s">
        <v>24</v>
      </c>
      <c r="H76" s="197"/>
      <c r="I76" s="254"/>
      <c r="J76" s="248"/>
      <c r="K76" s="197" t="s">
        <v>24</v>
      </c>
      <c r="L76" s="254"/>
      <c r="M76" s="248"/>
      <c r="N76" s="197"/>
      <c r="O76" s="255" t="s">
        <v>24</v>
      </c>
    </row>
    <row r="77">
      <c r="A77" s="32"/>
      <c r="B77" s="32"/>
      <c r="C77" s="118" t="s">
        <v>199</v>
      </c>
      <c r="D77" s="10"/>
      <c r="E77" s="10"/>
      <c r="F77" s="212" t="s">
        <v>200</v>
      </c>
      <c r="G77" s="196" t="s">
        <v>200</v>
      </c>
      <c r="H77" s="196"/>
      <c r="I77" s="196"/>
      <c r="J77" s="244"/>
      <c r="K77" s="196" t="s">
        <v>200</v>
      </c>
      <c r="L77" s="196"/>
      <c r="M77" s="244"/>
      <c r="N77" s="196"/>
      <c r="O77" s="196" t="s">
        <v>200</v>
      </c>
    </row>
    <row r="78">
      <c r="A78" s="32"/>
      <c r="B78" s="32"/>
      <c r="C78" s="227" t="s">
        <v>201</v>
      </c>
      <c r="D78" s="10"/>
      <c r="E78" s="10"/>
      <c r="F78" s="213" t="s">
        <v>202</v>
      </c>
      <c r="G78" s="197" t="s">
        <v>24</v>
      </c>
      <c r="H78" s="197"/>
      <c r="I78" s="197"/>
      <c r="J78" s="248"/>
      <c r="K78" s="197" t="s">
        <v>24</v>
      </c>
      <c r="L78" s="197"/>
      <c r="M78" s="248"/>
      <c r="N78" s="197"/>
      <c r="O78" s="197" t="s">
        <v>24</v>
      </c>
    </row>
    <row r="79">
      <c r="A79" s="32"/>
      <c r="B79" s="32"/>
      <c r="C79" s="119" t="s">
        <v>203</v>
      </c>
      <c r="D79" s="10"/>
      <c r="E79" s="10"/>
      <c r="F79" s="213" t="s">
        <v>124</v>
      </c>
      <c r="G79" s="197" t="s">
        <v>24</v>
      </c>
      <c r="H79" s="197"/>
      <c r="I79" s="197"/>
      <c r="J79" s="246"/>
      <c r="K79" s="197" t="s">
        <v>24</v>
      </c>
      <c r="L79" s="197"/>
      <c r="M79" s="246"/>
      <c r="N79" s="197"/>
      <c r="O79" s="197" t="s">
        <v>24</v>
      </c>
    </row>
    <row r="80">
      <c r="A80" s="32"/>
      <c r="B80" s="32"/>
      <c r="C80" s="120" t="s">
        <v>316</v>
      </c>
      <c r="D80" s="10"/>
      <c r="E80" s="10"/>
      <c r="F80" s="213" t="s">
        <v>124</v>
      </c>
      <c r="G80" s="197" t="s">
        <v>24</v>
      </c>
      <c r="H80" s="197"/>
      <c r="I80" s="197"/>
      <c r="J80" s="248"/>
      <c r="K80" s="197" t="s">
        <v>24</v>
      </c>
      <c r="L80" s="197"/>
      <c r="M80" s="248"/>
      <c r="N80" s="197"/>
      <c r="O80" s="197" t="s">
        <v>24</v>
      </c>
    </row>
    <row r="81">
      <c r="A81" s="32"/>
      <c r="B81" s="37"/>
      <c r="C81" s="121" t="s">
        <v>205</v>
      </c>
      <c r="D81" s="245" t="s">
        <v>206</v>
      </c>
      <c r="E81" s="10"/>
      <c r="F81" s="213" t="s">
        <v>207</v>
      </c>
      <c r="G81" s="197" t="s">
        <v>24</v>
      </c>
      <c r="H81" s="197"/>
      <c r="I81" s="197"/>
      <c r="J81" s="248"/>
      <c r="K81" s="197" t="s">
        <v>24</v>
      </c>
      <c r="L81" s="197"/>
      <c r="M81" s="248"/>
      <c r="N81" s="197"/>
      <c r="O81" s="197" t="s">
        <v>24</v>
      </c>
    </row>
    <row r="82">
      <c r="A82" s="32"/>
      <c r="B82" s="102" t="s">
        <v>208</v>
      </c>
      <c r="C82" s="106" t="s">
        <v>209</v>
      </c>
      <c r="D82" s="10"/>
      <c r="E82" s="10"/>
      <c r="F82" s="17"/>
      <c r="G82" s="197" t="s">
        <v>24</v>
      </c>
      <c r="H82" s="197"/>
      <c r="I82" s="197"/>
      <c r="J82" s="248"/>
      <c r="K82" s="197" t="s">
        <v>24</v>
      </c>
      <c r="L82" s="197"/>
      <c r="M82" s="248"/>
      <c r="N82" s="197"/>
      <c r="O82" s="197" t="s">
        <v>24</v>
      </c>
    </row>
    <row r="83">
      <c r="A83" s="32"/>
      <c r="B83" s="32"/>
      <c r="C83" s="123" t="s">
        <v>210</v>
      </c>
      <c r="D83" s="10"/>
      <c r="E83" s="10"/>
      <c r="F83" s="213" t="s">
        <v>211</v>
      </c>
      <c r="G83" s="197" t="s">
        <v>24</v>
      </c>
      <c r="H83" s="197"/>
      <c r="I83" s="197"/>
      <c r="J83" s="248"/>
      <c r="K83" s="197" t="s">
        <v>24</v>
      </c>
      <c r="L83" s="197"/>
      <c r="M83" s="248"/>
      <c r="N83" s="197"/>
      <c r="O83" s="197" t="s">
        <v>24</v>
      </c>
    </row>
    <row r="84">
      <c r="A84" s="32"/>
      <c r="B84" s="32"/>
      <c r="C84" s="124" t="s">
        <v>212</v>
      </c>
      <c r="D84" s="10"/>
      <c r="E84" s="10"/>
      <c r="F84" s="17"/>
      <c r="G84" s="197" t="s">
        <v>24</v>
      </c>
      <c r="H84" s="197"/>
      <c r="I84" s="197"/>
      <c r="J84" s="248"/>
      <c r="K84" s="197" t="s">
        <v>24</v>
      </c>
      <c r="L84" s="197"/>
      <c r="M84" s="248"/>
      <c r="N84" s="197"/>
      <c r="O84" s="197" t="s">
        <v>24</v>
      </c>
    </row>
    <row r="85">
      <c r="A85" s="32"/>
      <c r="B85" s="32"/>
      <c r="C85" s="125" t="s">
        <v>213</v>
      </c>
      <c r="D85" s="10"/>
      <c r="E85" s="10"/>
      <c r="F85" s="17"/>
      <c r="G85" s="197" t="s">
        <v>24</v>
      </c>
      <c r="H85" s="197"/>
      <c r="I85" s="197"/>
      <c r="J85" s="248"/>
      <c r="K85" s="197" t="s">
        <v>24</v>
      </c>
      <c r="L85" s="197"/>
      <c r="M85" s="248"/>
      <c r="N85" s="197"/>
      <c r="O85" s="197" t="s">
        <v>24</v>
      </c>
    </row>
    <row r="86">
      <c r="A86" s="32"/>
      <c r="B86" s="37"/>
      <c r="C86" s="124" t="s">
        <v>214</v>
      </c>
      <c r="D86" s="10"/>
      <c r="E86" s="10"/>
      <c r="F86" s="17"/>
      <c r="G86" s="197" t="s">
        <v>24</v>
      </c>
      <c r="H86" s="197"/>
      <c r="I86" s="197"/>
      <c r="J86" s="248"/>
      <c r="K86" s="197" t="s">
        <v>24</v>
      </c>
      <c r="L86" s="197"/>
      <c r="M86" s="248"/>
      <c r="N86" s="197"/>
      <c r="O86" s="197" t="s">
        <v>24</v>
      </c>
    </row>
    <row r="87">
      <c r="A87" s="32"/>
      <c r="B87" s="115" t="s">
        <v>217</v>
      </c>
      <c r="C87" s="124" t="s">
        <v>218</v>
      </c>
      <c r="D87" s="10"/>
      <c r="E87" s="10"/>
      <c r="F87" s="17"/>
      <c r="G87" s="197" t="s">
        <v>24</v>
      </c>
      <c r="H87" s="197"/>
      <c r="I87" s="197"/>
      <c r="J87" s="248"/>
      <c r="K87" s="197" t="s">
        <v>24</v>
      </c>
      <c r="L87" s="197"/>
      <c r="M87" s="248"/>
      <c r="N87" s="197"/>
      <c r="O87" s="197" t="s">
        <v>24</v>
      </c>
    </row>
    <row r="88">
      <c r="A88" s="32"/>
      <c r="B88" s="32"/>
      <c r="C88" s="124" t="s">
        <v>220</v>
      </c>
      <c r="D88" s="10"/>
      <c r="E88" s="10"/>
      <c r="F88" s="17"/>
      <c r="G88" s="197" t="s">
        <v>24</v>
      </c>
      <c r="H88" s="197"/>
      <c r="I88" s="197"/>
      <c r="J88" s="248"/>
      <c r="K88" s="197" t="s">
        <v>24</v>
      </c>
      <c r="L88" s="197"/>
      <c r="M88" s="248"/>
      <c r="N88" s="197"/>
      <c r="O88" s="197" t="s">
        <v>24</v>
      </c>
    </row>
    <row r="89">
      <c r="A89" s="32"/>
      <c r="B89" s="32"/>
      <c r="C89" s="129" t="s">
        <v>221</v>
      </c>
      <c r="D89" s="10"/>
      <c r="E89" s="10"/>
      <c r="F89" s="213" t="s">
        <v>222</v>
      </c>
      <c r="G89" s="197" t="s">
        <v>24</v>
      </c>
      <c r="H89" s="197"/>
      <c r="I89" s="197"/>
      <c r="J89" s="248"/>
      <c r="K89" s="197" t="s">
        <v>24</v>
      </c>
      <c r="L89" s="197"/>
      <c r="M89" s="248"/>
      <c r="N89" s="197"/>
      <c r="O89" s="197" t="s">
        <v>24</v>
      </c>
    </row>
    <row r="90">
      <c r="A90" s="32"/>
      <c r="B90" s="37"/>
      <c r="C90" s="124" t="s">
        <v>223</v>
      </c>
      <c r="D90" s="10"/>
      <c r="E90" s="10"/>
      <c r="F90" s="213" t="s">
        <v>224</v>
      </c>
      <c r="G90" s="197" t="s">
        <v>24</v>
      </c>
      <c r="H90" s="197"/>
      <c r="I90" s="197"/>
      <c r="J90" s="244"/>
      <c r="K90" s="197" t="s">
        <v>24</v>
      </c>
      <c r="L90" s="197"/>
      <c r="M90" s="244"/>
      <c r="N90" s="197"/>
      <c r="O90" s="197" t="s">
        <v>24</v>
      </c>
    </row>
    <row r="91">
      <c r="A91" s="32"/>
      <c r="B91" s="115" t="s">
        <v>225</v>
      </c>
      <c r="C91" s="130" t="s">
        <v>226</v>
      </c>
      <c r="D91" s="10"/>
      <c r="E91" s="10"/>
      <c r="F91" s="230" t="s">
        <v>227</v>
      </c>
      <c r="G91" s="197" t="s">
        <v>12</v>
      </c>
      <c r="H91" s="197"/>
      <c r="I91" s="197"/>
      <c r="J91" s="257"/>
      <c r="K91" s="197" t="s">
        <v>12</v>
      </c>
      <c r="L91" s="197"/>
      <c r="M91" s="257"/>
      <c r="N91" s="197"/>
      <c r="O91" s="197"/>
    </row>
    <row r="92">
      <c r="A92" s="32"/>
      <c r="B92" s="32"/>
      <c r="C92" s="231" t="s">
        <v>318</v>
      </c>
      <c r="D92" s="10"/>
      <c r="E92" s="10"/>
      <c r="F92" s="232"/>
      <c r="G92" s="197" t="s">
        <v>12</v>
      </c>
      <c r="H92" s="197"/>
      <c r="I92" s="197"/>
      <c r="J92" s="257"/>
      <c r="K92" s="197" t="s">
        <v>12</v>
      </c>
      <c r="L92" s="197"/>
      <c r="M92" s="257"/>
      <c r="N92" s="197"/>
      <c r="O92" s="197"/>
    </row>
    <row r="93">
      <c r="A93" s="32"/>
      <c r="B93" s="32"/>
      <c r="C93" s="231" t="s">
        <v>229</v>
      </c>
      <c r="D93" s="10"/>
      <c r="E93" s="10"/>
      <c r="F93" s="233" t="s">
        <v>230</v>
      </c>
      <c r="G93" s="197" t="s">
        <v>12</v>
      </c>
      <c r="H93" s="197"/>
      <c r="I93" s="197"/>
      <c r="J93" s="257"/>
      <c r="K93" s="197" t="s">
        <v>12</v>
      </c>
      <c r="L93" s="197"/>
      <c r="M93" s="257"/>
      <c r="N93" s="197"/>
      <c r="O93" s="197"/>
    </row>
    <row r="94">
      <c r="A94" s="32"/>
      <c r="B94" s="32"/>
      <c r="C94" s="231" t="s">
        <v>231</v>
      </c>
      <c r="D94" s="10"/>
      <c r="E94" s="10"/>
      <c r="F94" s="232"/>
      <c r="G94" s="197" t="s">
        <v>12</v>
      </c>
      <c r="H94" s="197"/>
      <c r="I94" s="197"/>
      <c r="J94" s="257"/>
      <c r="K94" s="197" t="s">
        <v>12</v>
      </c>
      <c r="L94" s="197"/>
      <c r="M94" s="257"/>
      <c r="N94" s="197"/>
      <c r="O94" s="197"/>
    </row>
    <row r="95">
      <c r="A95" s="32"/>
      <c r="B95" s="32"/>
      <c r="C95" s="231" t="s">
        <v>232</v>
      </c>
      <c r="D95" s="10"/>
      <c r="E95" s="10"/>
      <c r="F95" s="234"/>
      <c r="G95" s="197" t="s">
        <v>12</v>
      </c>
      <c r="H95" s="197"/>
      <c r="I95" s="197"/>
      <c r="J95" s="257"/>
      <c r="K95" s="197" t="s">
        <v>12</v>
      </c>
      <c r="L95" s="197"/>
      <c r="M95" s="257"/>
      <c r="N95" s="197"/>
      <c r="O95" s="197"/>
    </row>
    <row r="96">
      <c r="A96" s="32"/>
      <c r="B96" s="32"/>
      <c r="C96" s="231" t="s">
        <v>233</v>
      </c>
      <c r="D96" s="10"/>
      <c r="E96" s="10"/>
      <c r="F96" s="235" t="s">
        <v>234</v>
      </c>
      <c r="G96" s="197" t="s">
        <v>12</v>
      </c>
      <c r="H96" s="197"/>
      <c r="I96" s="197"/>
      <c r="J96" s="257"/>
      <c r="K96" s="197" t="s">
        <v>12</v>
      </c>
      <c r="L96" s="197"/>
      <c r="M96" s="257"/>
      <c r="N96" s="197"/>
      <c r="O96" s="197"/>
    </row>
    <row r="97">
      <c r="A97" s="32"/>
      <c r="B97" s="32"/>
      <c r="C97" s="231" t="s">
        <v>235</v>
      </c>
      <c r="D97" s="10"/>
      <c r="E97" s="10"/>
      <c r="F97" s="235" t="s">
        <v>236</v>
      </c>
      <c r="G97" s="197" t="s">
        <v>12</v>
      </c>
      <c r="H97" s="197"/>
      <c r="I97" s="197"/>
      <c r="J97" s="257"/>
      <c r="K97" s="197" t="s">
        <v>12</v>
      </c>
      <c r="L97" s="197"/>
      <c r="M97" s="257"/>
      <c r="N97" s="197"/>
      <c r="O97" s="197"/>
    </row>
    <row r="98">
      <c r="A98" s="32"/>
      <c r="B98" s="32"/>
      <c r="C98" s="231" t="s">
        <v>237</v>
      </c>
      <c r="D98" s="10"/>
      <c r="E98" s="10"/>
      <c r="F98" s="232"/>
      <c r="G98" s="197" t="s">
        <v>12</v>
      </c>
      <c r="H98" s="197"/>
      <c r="I98" s="197"/>
      <c r="J98" s="257"/>
      <c r="K98" s="197" t="s">
        <v>12</v>
      </c>
      <c r="L98" s="197"/>
      <c r="M98" s="257"/>
      <c r="N98" s="197"/>
      <c r="O98" s="197"/>
    </row>
    <row r="99">
      <c r="A99" s="32"/>
      <c r="B99" s="32"/>
      <c r="C99" s="231" t="s">
        <v>238</v>
      </c>
      <c r="D99" s="10"/>
      <c r="E99" s="10"/>
      <c r="F99" s="213"/>
      <c r="G99" s="197" t="s">
        <v>12</v>
      </c>
      <c r="H99" s="197"/>
      <c r="I99" s="197"/>
      <c r="J99" s="244"/>
      <c r="K99" s="197" t="s">
        <v>12</v>
      </c>
      <c r="L99" s="197"/>
      <c r="M99" s="244"/>
      <c r="N99" s="197"/>
      <c r="O99" s="197"/>
    </row>
    <row r="100">
      <c r="A100" s="32"/>
      <c r="B100" s="32"/>
      <c r="C100" s="231" t="s">
        <v>239</v>
      </c>
      <c r="D100" s="10"/>
      <c r="E100" s="10"/>
      <c r="F100" s="213"/>
      <c r="G100" s="197" t="s">
        <v>12</v>
      </c>
      <c r="H100" s="197"/>
      <c r="I100" s="197"/>
      <c r="J100" s="244"/>
      <c r="K100" s="197" t="s">
        <v>12</v>
      </c>
      <c r="L100" s="197"/>
      <c r="M100" s="244"/>
      <c r="N100" s="197"/>
      <c r="O100" s="197"/>
    </row>
    <row r="101">
      <c r="A101" s="32"/>
      <c r="B101" s="32"/>
      <c r="C101" s="231" t="s">
        <v>240</v>
      </c>
      <c r="D101" s="10"/>
      <c r="E101" s="10"/>
      <c r="F101" s="213"/>
      <c r="G101" s="197" t="s">
        <v>12</v>
      </c>
      <c r="H101" s="197"/>
      <c r="I101" s="197"/>
      <c r="J101" s="244"/>
      <c r="K101" s="197" t="s">
        <v>12</v>
      </c>
      <c r="L101" s="197"/>
      <c r="M101" s="244"/>
      <c r="N101" s="197"/>
      <c r="O101" s="197"/>
    </row>
    <row r="102">
      <c r="A102" s="32"/>
      <c r="B102" s="32"/>
      <c r="C102" s="231" t="s">
        <v>241</v>
      </c>
      <c r="D102" s="10"/>
      <c r="E102" s="10"/>
      <c r="F102" s="213"/>
      <c r="G102" s="197" t="s">
        <v>12</v>
      </c>
      <c r="H102" s="197"/>
      <c r="I102" s="197"/>
      <c r="J102" s="244"/>
      <c r="K102" s="197" t="s">
        <v>12</v>
      </c>
      <c r="L102" s="197"/>
      <c r="M102" s="244"/>
      <c r="N102" s="197"/>
      <c r="O102" s="197"/>
    </row>
    <row r="103">
      <c r="A103" s="32"/>
      <c r="B103" s="32"/>
      <c r="C103" s="231" t="s">
        <v>242</v>
      </c>
      <c r="D103" s="10"/>
      <c r="E103" s="10"/>
      <c r="F103" s="213"/>
      <c r="G103" s="197" t="s">
        <v>12</v>
      </c>
      <c r="H103" s="197"/>
      <c r="I103" s="197"/>
      <c r="J103" s="244"/>
      <c r="K103" s="197" t="s">
        <v>12</v>
      </c>
      <c r="L103" s="197"/>
      <c r="M103" s="244"/>
      <c r="N103" s="197"/>
      <c r="O103" s="197"/>
    </row>
    <row r="104">
      <c r="A104" s="32"/>
      <c r="B104" s="37"/>
      <c r="C104" s="231" t="s">
        <v>243</v>
      </c>
      <c r="D104" s="10"/>
      <c r="E104" s="10"/>
      <c r="F104" s="213"/>
      <c r="G104" s="197" t="s">
        <v>12</v>
      </c>
      <c r="H104" s="197"/>
      <c r="I104" s="197"/>
      <c r="J104" s="244"/>
      <c r="K104" s="197" t="s">
        <v>12</v>
      </c>
      <c r="L104" s="197"/>
      <c r="M104" s="244"/>
      <c r="N104" s="197"/>
      <c r="O104" s="197"/>
    </row>
    <row r="105">
      <c r="A105" s="32"/>
      <c r="B105" s="102" t="s">
        <v>244</v>
      </c>
      <c r="C105" s="106" t="s">
        <v>245</v>
      </c>
      <c r="D105" s="10"/>
      <c r="E105" s="245" t="s">
        <v>248</v>
      </c>
      <c r="F105" s="237" t="s">
        <v>319</v>
      </c>
      <c r="G105" s="197" t="s">
        <v>24</v>
      </c>
      <c r="H105" s="197"/>
      <c r="I105" s="197"/>
      <c r="J105" s="244"/>
      <c r="K105" s="197" t="s">
        <v>24</v>
      </c>
      <c r="L105" s="197"/>
      <c r="M105" s="244"/>
      <c r="N105" s="197"/>
      <c r="O105" s="197" t="s">
        <v>24</v>
      </c>
    </row>
    <row r="106">
      <c r="A106" s="32"/>
      <c r="B106" s="32"/>
      <c r="C106" s="123" t="s">
        <v>247</v>
      </c>
      <c r="D106" s="10"/>
      <c r="E106" s="245" t="s">
        <v>248</v>
      </c>
      <c r="F106" s="213" t="s">
        <v>207</v>
      </c>
      <c r="G106" s="197" t="s">
        <v>24</v>
      </c>
      <c r="H106" s="197"/>
      <c r="I106" s="197"/>
      <c r="J106" s="248"/>
      <c r="K106" s="197" t="s">
        <v>24</v>
      </c>
      <c r="L106" s="197"/>
      <c r="M106" s="248"/>
      <c r="N106" s="197"/>
      <c r="O106" s="197" t="s">
        <v>24</v>
      </c>
    </row>
    <row r="107">
      <c r="A107" s="32"/>
      <c r="B107" s="32"/>
      <c r="C107" s="123" t="s">
        <v>249</v>
      </c>
      <c r="D107" s="10"/>
      <c r="E107" s="10"/>
      <c r="F107" s="213" t="s">
        <v>250</v>
      </c>
      <c r="G107" s="197" t="s">
        <v>24</v>
      </c>
      <c r="H107" s="197"/>
      <c r="I107" s="197"/>
      <c r="J107" s="248"/>
      <c r="K107" s="197" t="s">
        <v>24</v>
      </c>
      <c r="L107" s="197"/>
      <c r="M107" s="248"/>
      <c r="N107" s="197"/>
      <c r="O107" s="197" t="s">
        <v>24</v>
      </c>
    </row>
    <row r="108">
      <c r="A108" s="32"/>
      <c r="B108" s="32"/>
      <c r="C108" s="103" t="s">
        <v>251</v>
      </c>
      <c r="D108" s="10"/>
      <c r="E108" s="10"/>
      <c r="F108" s="213" t="s">
        <v>252</v>
      </c>
      <c r="G108" s="197" t="s">
        <v>24</v>
      </c>
      <c r="H108" s="197"/>
      <c r="I108" s="197"/>
      <c r="J108" s="244"/>
      <c r="K108" s="197" t="s">
        <v>24</v>
      </c>
      <c r="L108" s="197"/>
      <c r="M108" s="244"/>
      <c r="N108" s="197"/>
      <c r="O108" s="197" t="s">
        <v>24</v>
      </c>
    </row>
    <row r="109">
      <c r="A109" s="32"/>
      <c r="B109" s="32"/>
      <c r="C109" s="106" t="s">
        <v>253</v>
      </c>
      <c r="D109" s="10"/>
      <c r="E109" s="10"/>
      <c r="F109" s="213" t="s">
        <v>254</v>
      </c>
      <c r="G109" s="197" t="s">
        <v>24</v>
      </c>
      <c r="H109" s="197"/>
      <c r="I109" s="197"/>
      <c r="J109" s="244"/>
      <c r="K109" s="197" t="s">
        <v>24</v>
      </c>
      <c r="L109" s="197"/>
      <c r="M109" s="244"/>
      <c r="N109" s="197"/>
      <c r="O109" s="197" t="s">
        <v>24</v>
      </c>
    </row>
    <row r="110">
      <c r="A110" s="32"/>
      <c r="B110" s="32"/>
      <c r="C110" s="106" t="s">
        <v>255</v>
      </c>
      <c r="D110" s="10"/>
      <c r="E110" s="10"/>
      <c r="F110" s="213" t="s">
        <v>256</v>
      </c>
      <c r="G110" s="197" t="s">
        <v>24</v>
      </c>
      <c r="H110" s="197"/>
      <c r="I110" s="197"/>
      <c r="J110" s="244"/>
      <c r="K110" s="197" t="s">
        <v>24</v>
      </c>
      <c r="L110" s="197"/>
      <c r="M110" s="244"/>
      <c r="N110" s="197"/>
      <c r="O110" s="197" t="s">
        <v>24</v>
      </c>
    </row>
    <row r="111">
      <c r="A111" s="32"/>
      <c r="B111" s="32"/>
      <c r="C111" s="93" t="s">
        <v>257</v>
      </c>
      <c r="D111" s="10"/>
      <c r="E111" s="10"/>
      <c r="F111" s="17"/>
      <c r="G111" s="197" t="s">
        <v>24</v>
      </c>
      <c r="H111" s="197"/>
      <c r="I111" s="197"/>
      <c r="J111" s="248"/>
      <c r="K111" s="197" t="s">
        <v>24</v>
      </c>
      <c r="L111" s="197"/>
      <c r="M111" s="248"/>
      <c r="N111" s="197"/>
      <c r="O111" s="197" t="s">
        <v>24</v>
      </c>
    </row>
    <row r="112">
      <c r="A112" s="32"/>
      <c r="B112" s="32"/>
      <c r="C112" s="93" t="s">
        <v>258</v>
      </c>
      <c r="D112" s="10"/>
      <c r="E112" s="10"/>
      <c r="F112" s="213" t="s">
        <v>259</v>
      </c>
      <c r="G112" s="197" t="s">
        <v>24</v>
      </c>
      <c r="H112" s="197"/>
      <c r="I112" s="197"/>
      <c r="J112" s="248"/>
      <c r="K112" s="197" t="s">
        <v>24</v>
      </c>
      <c r="L112" s="197"/>
      <c r="M112" s="248"/>
      <c r="N112" s="197"/>
      <c r="O112" s="197" t="s">
        <v>24</v>
      </c>
    </row>
    <row r="113">
      <c r="A113" s="32"/>
      <c r="B113" s="32"/>
      <c r="C113" s="238" t="s">
        <v>260</v>
      </c>
      <c r="D113" s="10"/>
      <c r="E113" s="10"/>
      <c r="F113" s="17"/>
      <c r="G113" s="197" t="s">
        <v>24</v>
      </c>
      <c r="H113" s="197"/>
      <c r="I113" s="197"/>
      <c r="J113" s="244"/>
      <c r="K113" s="197" t="s">
        <v>24</v>
      </c>
      <c r="L113" s="197"/>
      <c r="M113" s="244"/>
      <c r="N113" s="197"/>
      <c r="O113" s="197" t="s">
        <v>24</v>
      </c>
    </row>
    <row r="114">
      <c r="A114" s="32"/>
      <c r="B114" s="37"/>
      <c r="C114" s="238" t="s">
        <v>263</v>
      </c>
      <c r="D114" s="10"/>
      <c r="E114" s="10"/>
      <c r="F114" s="17"/>
      <c r="G114" s="197" t="s">
        <v>24</v>
      </c>
      <c r="H114" s="197"/>
      <c r="I114" s="197"/>
      <c r="J114" s="248"/>
      <c r="K114" s="197" t="s">
        <v>24</v>
      </c>
      <c r="L114" s="197"/>
      <c r="M114" s="248"/>
      <c r="N114" s="197"/>
      <c r="O114" s="197" t="s">
        <v>24</v>
      </c>
    </row>
    <row r="115">
      <c r="A115" s="32"/>
      <c r="B115" s="141" t="s">
        <v>264</v>
      </c>
      <c r="C115" s="142" t="s">
        <v>265</v>
      </c>
      <c r="E115" s="245" t="s">
        <v>266</v>
      </c>
      <c r="F115" s="240"/>
      <c r="G115" s="197" t="s">
        <v>24</v>
      </c>
      <c r="H115" s="197"/>
      <c r="I115" s="197"/>
      <c r="J115" s="248"/>
      <c r="K115" s="197" t="s">
        <v>24</v>
      </c>
      <c r="L115" s="197"/>
      <c r="M115" s="248"/>
      <c r="N115" s="197"/>
      <c r="O115" s="197" t="s">
        <v>24</v>
      </c>
    </row>
    <row r="116">
      <c r="A116" s="37"/>
      <c r="B116" s="37"/>
      <c r="C116" s="148" t="s">
        <v>274</v>
      </c>
      <c r="D116" s="10"/>
      <c r="F116" s="241" t="s">
        <v>275</v>
      </c>
      <c r="G116" s="197" t="s">
        <v>24</v>
      </c>
      <c r="H116" s="197"/>
      <c r="I116" s="197"/>
      <c r="J116" s="248"/>
      <c r="K116" s="197" t="s">
        <v>24</v>
      </c>
      <c r="L116" s="197"/>
      <c r="M116" s="248"/>
      <c r="N116" s="197"/>
      <c r="O116" s="197" t="s">
        <v>24</v>
      </c>
    </row>
    <row r="117">
      <c r="A117" s="154"/>
      <c r="B117" s="154">
        <v>117.0</v>
      </c>
      <c r="C117" s="154" t="s">
        <v>390</v>
      </c>
      <c r="D117" s="154"/>
      <c r="E117" s="154"/>
      <c r="F117" s="142" t="s">
        <v>276</v>
      </c>
      <c r="G117" s="200">
        <v>100.0</v>
      </c>
      <c r="H117" s="200">
        <v>0.0</v>
      </c>
      <c r="I117" s="200">
        <v>0.0</v>
      </c>
      <c r="J117" s="200">
        <v>0.0</v>
      </c>
      <c r="K117" s="200">
        <v>99.0</v>
      </c>
      <c r="L117" s="200">
        <v>0.0</v>
      </c>
      <c r="M117" s="200">
        <v>0.0</v>
      </c>
      <c r="N117" s="200">
        <v>0.0</v>
      </c>
      <c r="O117" s="200">
        <v>86.0</v>
      </c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>
      <c r="A122" s="79" t="s">
        <v>391</v>
      </c>
      <c r="B122" s="152"/>
      <c r="C122" s="152"/>
      <c r="D122" s="153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>
      <c r="A123" s="154"/>
      <c r="B123" s="155" t="s">
        <v>5</v>
      </c>
      <c r="C123" s="155" t="s">
        <v>277</v>
      </c>
      <c r="D123" s="155" t="s">
        <v>7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>
      <c r="A124" s="155" t="s">
        <v>278</v>
      </c>
      <c r="B124" s="154">
        <v>88.0</v>
      </c>
      <c r="C124" s="154">
        <v>0.0</v>
      </c>
      <c r="D124" s="154">
        <v>0.0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>
      <c r="A125" s="155" t="s">
        <v>279</v>
      </c>
      <c r="B125" s="154">
        <v>5.0</v>
      </c>
      <c r="C125" s="154">
        <v>0.0</v>
      </c>
      <c r="D125" s="154">
        <v>0.0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>
      <c r="A126" s="155" t="s">
        <v>280</v>
      </c>
      <c r="B126" s="154">
        <v>14.0</v>
      </c>
      <c r="C126" s="154">
        <v>0.0</v>
      </c>
      <c r="D126" s="154">
        <v>0.0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>
      <c r="A127" s="155" t="s">
        <v>281</v>
      </c>
      <c r="B127" s="154">
        <v>0.0</v>
      </c>
      <c r="C127" s="154">
        <v>0.0</v>
      </c>
      <c r="D127" s="154">
        <v>0.0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>
      <c r="A130" s="156" t="s">
        <v>282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>
      <c r="A131" s="157" t="s">
        <v>8</v>
      </c>
      <c r="B131" s="158"/>
      <c r="C131" s="158"/>
      <c r="D131" s="158"/>
      <c r="E131" s="157" t="s">
        <v>283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>
      <c r="A132" s="159" t="s">
        <v>284</v>
      </c>
      <c r="B132" s="158"/>
      <c r="C132" s="158"/>
      <c r="D132" s="158"/>
      <c r="E132" s="160" t="s">
        <v>24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>
      <c r="A133" s="161" t="s">
        <v>285</v>
      </c>
      <c r="B133" s="158"/>
      <c r="C133" s="158"/>
      <c r="D133" s="158"/>
      <c r="E133" s="162" t="s">
        <v>12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>
      <c r="A134" s="163" t="s">
        <v>286</v>
      </c>
      <c r="B134" s="158"/>
      <c r="C134" s="158"/>
      <c r="D134" s="158"/>
      <c r="E134" s="164" t="s">
        <v>287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>
      <c r="A135" s="165" t="s">
        <v>288</v>
      </c>
      <c r="B135" s="158"/>
      <c r="C135" s="158"/>
      <c r="D135" s="158"/>
      <c r="E135" s="166" t="s">
        <v>10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>
      <c r="A136" s="167" t="s">
        <v>289</v>
      </c>
      <c r="B136" s="158"/>
      <c r="C136" s="158"/>
      <c r="D136" s="158"/>
      <c r="E136" s="168" t="s">
        <v>290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>
      <c r="A137" s="169" t="s">
        <v>291</v>
      </c>
      <c r="B137" s="158"/>
      <c r="C137" s="158"/>
      <c r="D137" s="158"/>
      <c r="E137" s="170" t="s">
        <v>292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>
      <c r="A138" s="171" t="s">
        <v>293</v>
      </c>
      <c r="B138" s="158"/>
      <c r="C138" s="158"/>
      <c r="D138" s="158"/>
      <c r="E138" s="172" t="s">
        <v>294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>
      <c r="A139" s="173" t="s">
        <v>295</v>
      </c>
      <c r="B139" s="158"/>
      <c r="C139" s="158"/>
      <c r="D139" s="158"/>
      <c r="E139" s="174" t="s">
        <v>11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>
      <c r="A140" s="175" t="s">
        <v>296</v>
      </c>
      <c r="B140" s="158"/>
      <c r="C140" s="158"/>
      <c r="D140" s="158"/>
      <c r="E140" s="176" t="s">
        <v>12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>
      <c r="A141" s="177" t="s">
        <v>297</v>
      </c>
      <c r="B141" s="158"/>
      <c r="C141" s="158"/>
      <c r="D141" s="158"/>
      <c r="E141" s="158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>
      <c r="A142" s="178" t="s">
        <v>298</v>
      </c>
      <c r="B142" s="158"/>
      <c r="C142" s="158"/>
      <c r="D142" s="158"/>
      <c r="E142" s="158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>
      <c r="A143" s="179" t="s">
        <v>299</v>
      </c>
      <c r="B143" s="158"/>
      <c r="C143" s="158"/>
      <c r="D143" s="158"/>
      <c r="E143" s="158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>
      <c r="A144" s="180" t="s">
        <v>300</v>
      </c>
      <c r="B144" s="158"/>
      <c r="C144" s="158"/>
      <c r="D144" s="158"/>
      <c r="E144" s="158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>
      <c r="A145" s="181" t="s">
        <v>301</v>
      </c>
      <c r="B145" s="158"/>
      <c r="C145" s="158"/>
      <c r="D145" s="158"/>
      <c r="E145" s="158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</sheetData>
  <mergeCells count="18">
    <mergeCell ref="B26:B42"/>
    <mergeCell ref="B43:B57"/>
    <mergeCell ref="B58:B61"/>
    <mergeCell ref="B62:B81"/>
    <mergeCell ref="B82:B86"/>
    <mergeCell ref="B87:B90"/>
    <mergeCell ref="B91:B104"/>
    <mergeCell ref="B105:B114"/>
    <mergeCell ref="B115:B116"/>
    <mergeCell ref="A122:D122"/>
    <mergeCell ref="A130:E130"/>
    <mergeCell ref="G1:I1"/>
    <mergeCell ref="J1:L1"/>
    <mergeCell ref="M1:O1"/>
    <mergeCell ref="A6:A25"/>
    <mergeCell ref="B6:B22"/>
    <mergeCell ref="B23:B25"/>
    <mergeCell ref="A26:A116"/>
  </mergeCells>
  <conditionalFormatting sqref="B3:D3 G4:O4">
    <cfRule type="cellIs" dxfId="14" priority="1" stopIfTrue="1" operator="equal">
      <formula>"Anu"</formula>
    </cfRule>
  </conditionalFormatting>
  <conditionalFormatting sqref="B3:D3 G4:O4">
    <cfRule type="cellIs" dxfId="0" priority="2" stopIfTrue="1" operator="equal">
      <formula>"Amrita"</formula>
    </cfRule>
  </conditionalFormatting>
  <conditionalFormatting sqref="B3:D3 G4:O4">
    <cfRule type="cellIs" dxfId="1" priority="3" stopIfTrue="1" operator="equal">
      <formula>"Soumya"</formula>
    </cfRule>
  </conditionalFormatting>
  <conditionalFormatting sqref="B3:D3 G4:O4">
    <cfRule type="cellIs" dxfId="2" priority="4" stopIfTrue="1" operator="equal">
      <formula>"Hannah"</formula>
    </cfRule>
  </conditionalFormatting>
  <conditionalFormatting sqref="B3:D3 G4:O4">
    <cfRule type="cellIs" dxfId="4" priority="5" stopIfTrue="1" operator="equal">
      <formula>"Nitin"</formula>
    </cfRule>
  </conditionalFormatting>
  <conditionalFormatting sqref="B3:D3 G4:O4">
    <cfRule type="cellIs" dxfId="15" priority="6" stopIfTrue="1" operator="equal">
      <formula>"Pankhuri"</formula>
    </cfRule>
  </conditionalFormatting>
  <conditionalFormatting sqref="B3:D3 G4:O4">
    <cfRule type="cellIs" dxfId="5" priority="7" stopIfTrue="1" operator="equal">
      <formula>"Ramakrishna"</formula>
    </cfRule>
  </conditionalFormatting>
  <conditionalFormatting sqref="B3:D3 G4:O4">
    <cfRule type="cellIs" dxfId="6" priority="8" stopIfTrue="1" operator="equal">
      <formula>"Abdul"</formula>
    </cfRule>
  </conditionalFormatting>
  <conditionalFormatting sqref="B3:D3 G4:O4">
    <cfRule type="cellIs" dxfId="7" priority="9" stopIfTrue="1" operator="equal">
      <formula>"Saheli"</formula>
    </cfRule>
  </conditionalFormatting>
  <conditionalFormatting sqref="B3:D3 G4:O4">
    <cfRule type="cellIs" dxfId="8" priority="10" stopIfTrue="1" operator="equal">
      <formula>"Matt"</formula>
    </cfRule>
  </conditionalFormatting>
  <conditionalFormatting sqref="B3:D3 G4:O4">
    <cfRule type="cellIs" dxfId="9" priority="11" stopIfTrue="1" operator="equal">
      <formula>"Vishnu"</formula>
    </cfRule>
  </conditionalFormatting>
  <conditionalFormatting sqref="B3:D3 G4:O4">
    <cfRule type="cellIs" dxfId="10" priority="12" stopIfTrue="1" operator="equal">
      <formula>"Ivy"</formula>
    </cfRule>
  </conditionalFormatting>
  <conditionalFormatting sqref="B3:D3 G4:O4">
    <cfRule type="cellIs" dxfId="11" priority="13" stopIfTrue="1" operator="equal">
      <formula>"Rupal"</formula>
    </cfRule>
  </conditionalFormatting>
  <conditionalFormatting sqref="B3:D3 G4:O4">
    <cfRule type="cellIs" dxfId="25" priority="14" stopIfTrue="1" operator="equal">
      <formula>"Utkarsh"</formula>
    </cfRule>
  </conditionalFormatting>
  <conditionalFormatting sqref="B3:D3 G4:O4 G6:O116">
    <cfRule type="cellIs" dxfId="18" priority="15" stopIfTrue="1" operator="equal">
      <formula>"Not Tested"</formula>
    </cfRule>
  </conditionalFormatting>
  <conditionalFormatting sqref="G6:O116">
    <cfRule type="cellIs" dxfId="19" priority="16" stopIfTrue="1" operator="equal">
      <formula>"N/A"</formula>
    </cfRule>
  </conditionalFormatting>
  <conditionalFormatting sqref="B2:D2 G3:O3">
    <cfRule type="containsText" dxfId="20" priority="17" stopIfTrue="1" operator="containsText" text="Incomplete">
      <formula>NOT(ISERROR(SEARCH(("Incomplete"),(B2))))</formula>
    </cfRule>
  </conditionalFormatting>
  <conditionalFormatting sqref="B2:D2 G3:O3">
    <cfRule type="containsText" dxfId="17" priority="18" stopIfTrue="1" operator="containsText" text="Broken">
      <formula>NOT(ISERROR(SEARCH(("Broken"),(B2))))</formula>
    </cfRule>
  </conditionalFormatting>
  <conditionalFormatting sqref="B2:D2 G3:O3">
    <cfRule type="containsText" dxfId="21" priority="19" stopIfTrue="1" operator="containsText" text="Some problems">
      <formula>NOT(ISERROR(SEARCH(("Some problems"),(B2))))</formula>
    </cfRule>
  </conditionalFormatting>
  <conditionalFormatting sqref="B2:D2 G3:O3">
    <cfRule type="containsText" dxfId="22" priority="20" stopIfTrue="1" operator="containsText" text="All OK">
      <formula>NOT(ISERROR(SEARCH(("All OK"),(B2))))</formula>
    </cfRule>
  </conditionalFormatting>
  <conditionalFormatting sqref="B2:D2 G3:O3">
    <cfRule type="containsText" dxfId="23" priority="21" stopIfTrue="1" operator="containsText" text="In Progress">
      <formula>NOT(ISERROR(SEARCH(("In Progress"),(B2))))</formula>
    </cfRule>
  </conditionalFormatting>
  <conditionalFormatting sqref="B2:D2 G3:O3">
    <cfRule type="containsText" dxfId="24" priority="22" stopIfTrue="1" operator="containsText" text="Not Tested">
      <formula>NOT(ISERROR(SEARCH(("Not Tested"),(B2))))</formula>
    </cfRule>
  </conditionalFormatting>
  <conditionalFormatting sqref="G6:O116">
    <cfRule type="cellIs" dxfId="16" priority="23" operator="equal">
      <formula>"OK"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392</v>
      </c>
      <c r="H1" s="6"/>
      <c r="I1" s="7"/>
      <c r="J1" s="5" t="s">
        <v>393</v>
      </c>
      <c r="K1" s="6"/>
      <c r="L1" s="7"/>
    </row>
    <row r="2">
      <c r="A2" s="8"/>
      <c r="B2" s="9" t="s">
        <v>10</v>
      </c>
      <c r="C2" s="9" t="s">
        <v>382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</row>
    <row r="3">
      <c r="A3" s="13" t="s">
        <v>8</v>
      </c>
      <c r="B3" s="9" t="s">
        <v>12</v>
      </c>
      <c r="C3" s="9" t="s">
        <v>301</v>
      </c>
      <c r="D3" s="9" t="s">
        <v>12</v>
      </c>
      <c r="E3" s="10"/>
      <c r="F3" s="14" t="s">
        <v>9</v>
      </c>
      <c r="G3" s="15" t="s">
        <v>10</v>
      </c>
      <c r="H3" s="15" t="s">
        <v>292</v>
      </c>
      <c r="I3" s="15" t="s">
        <v>10</v>
      </c>
      <c r="J3" s="15" t="s">
        <v>10</v>
      </c>
      <c r="K3" s="15" t="s">
        <v>10</v>
      </c>
      <c r="L3" s="15" t="s">
        <v>292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301</v>
      </c>
      <c r="I4" s="15" t="s">
        <v>12</v>
      </c>
      <c r="J4" s="15" t="s">
        <v>12</v>
      </c>
      <c r="K4" s="15" t="s">
        <v>12</v>
      </c>
      <c r="L4" s="15" t="s">
        <v>301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44"/>
      <c r="H6" s="29" t="s">
        <v>394</v>
      </c>
      <c r="I6" s="29"/>
      <c r="J6" s="244"/>
      <c r="K6" s="258"/>
      <c r="L6" s="29" t="s">
        <v>394</v>
      </c>
    </row>
    <row r="7">
      <c r="A7" s="32"/>
      <c r="B7" s="32"/>
      <c r="C7" s="142" t="s">
        <v>344</v>
      </c>
      <c r="D7" s="10"/>
      <c r="E7" s="245" t="s">
        <v>96</v>
      </c>
      <c r="F7" s="208" t="s">
        <v>311</v>
      </c>
      <c r="G7" s="246"/>
      <c r="H7" s="197" t="s">
        <v>24</v>
      </c>
      <c r="I7" s="197"/>
      <c r="J7" s="246"/>
      <c r="K7" s="258"/>
      <c r="L7" s="197" t="s">
        <v>24</v>
      </c>
    </row>
    <row r="8">
      <c r="A8" s="32"/>
      <c r="B8" s="32"/>
      <c r="C8" s="91" t="s">
        <v>345</v>
      </c>
      <c r="D8" s="10"/>
      <c r="E8" s="247" t="s">
        <v>383</v>
      </c>
      <c r="F8" s="17"/>
      <c r="G8" s="248"/>
      <c r="H8" s="197" t="s">
        <v>24</v>
      </c>
      <c r="I8" s="197"/>
      <c r="J8" s="248"/>
      <c r="K8" s="259"/>
      <c r="L8" s="197" t="s">
        <v>24</v>
      </c>
    </row>
    <row r="9">
      <c r="A9" s="32"/>
      <c r="B9" s="32"/>
      <c r="C9" s="91" t="s">
        <v>347</v>
      </c>
      <c r="D9" s="10"/>
      <c r="E9" s="249" t="s">
        <v>308</v>
      </c>
      <c r="F9" s="17"/>
      <c r="G9" s="244"/>
      <c r="H9" s="197" t="s">
        <v>24</v>
      </c>
      <c r="I9" s="197"/>
      <c r="J9" s="244"/>
      <c r="K9" s="260"/>
      <c r="L9" s="197" t="s">
        <v>24</v>
      </c>
    </row>
    <row r="10">
      <c r="A10" s="32"/>
      <c r="B10" s="32"/>
      <c r="C10" s="87" t="s">
        <v>348</v>
      </c>
      <c r="D10" s="10"/>
      <c r="E10" s="245" t="s">
        <v>77</v>
      </c>
      <c r="F10" s="17"/>
      <c r="G10" s="248"/>
      <c r="H10" s="197" t="s">
        <v>24</v>
      </c>
      <c r="I10" s="197"/>
      <c r="J10" s="248"/>
      <c r="K10" s="260"/>
      <c r="L10" s="197" t="s">
        <v>24</v>
      </c>
    </row>
    <row r="11">
      <c r="A11" s="32"/>
      <c r="B11" s="32"/>
      <c r="C11" s="87" t="s">
        <v>349</v>
      </c>
      <c r="D11" s="10"/>
      <c r="E11" s="245" t="s">
        <v>100</v>
      </c>
      <c r="F11" s="17"/>
      <c r="G11" s="246"/>
      <c r="H11" s="196" t="s">
        <v>101</v>
      </c>
      <c r="I11" s="196"/>
      <c r="J11" s="246"/>
      <c r="K11" s="258"/>
      <c r="L11" s="196" t="s">
        <v>101</v>
      </c>
    </row>
    <row r="12">
      <c r="A12" s="32"/>
      <c r="B12" s="32"/>
      <c r="C12" s="87" t="s">
        <v>350</v>
      </c>
      <c r="D12" s="10"/>
      <c r="E12" s="10"/>
      <c r="F12" s="212" t="s">
        <v>351</v>
      </c>
      <c r="G12" s="246"/>
      <c r="H12" s="196" t="s">
        <v>395</v>
      </c>
      <c r="I12" s="196"/>
      <c r="J12" s="246"/>
      <c r="K12" s="258"/>
      <c r="L12" s="196" t="s">
        <v>395</v>
      </c>
    </row>
    <row r="13">
      <c r="A13" s="32"/>
      <c r="B13" s="32"/>
      <c r="C13" s="87" t="s">
        <v>352</v>
      </c>
      <c r="D13" s="10"/>
      <c r="E13" s="10"/>
      <c r="F13" s="213"/>
      <c r="G13" s="250"/>
      <c r="H13" s="197" t="s">
        <v>24</v>
      </c>
      <c r="I13" s="197"/>
      <c r="J13" s="250"/>
      <c r="K13" s="258"/>
      <c r="L13" s="197" t="s">
        <v>24</v>
      </c>
    </row>
    <row r="14">
      <c r="A14" s="32"/>
      <c r="B14" s="32"/>
      <c r="C14" s="87" t="s">
        <v>353</v>
      </c>
      <c r="D14" s="10"/>
      <c r="E14" s="10"/>
      <c r="F14" s="213"/>
      <c r="G14" s="246"/>
      <c r="H14" s="197" t="s">
        <v>24</v>
      </c>
      <c r="I14" s="197"/>
      <c r="J14" s="246"/>
      <c r="K14" s="258"/>
      <c r="L14" s="197" t="s">
        <v>24</v>
      </c>
    </row>
    <row r="15">
      <c r="A15" s="32"/>
      <c r="B15" s="32"/>
      <c r="C15" s="77" t="s">
        <v>354</v>
      </c>
      <c r="D15" s="10"/>
      <c r="E15" s="10"/>
      <c r="F15" s="213" t="s">
        <v>83</v>
      </c>
      <c r="G15" s="248"/>
      <c r="H15" s="197" t="s">
        <v>24</v>
      </c>
      <c r="I15" s="197"/>
      <c r="J15" s="248"/>
      <c r="K15" s="260"/>
      <c r="L15" s="197" t="s">
        <v>24</v>
      </c>
    </row>
    <row r="16">
      <c r="A16" s="32"/>
      <c r="B16" s="32"/>
      <c r="C16" s="214" t="s">
        <v>355</v>
      </c>
      <c r="D16" s="10"/>
      <c r="E16" s="245" t="s">
        <v>34</v>
      </c>
      <c r="F16" s="17"/>
      <c r="G16" s="244"/>
      <c r="H16" s="197" t="s">
        <v>24</v>
      </c>
      <c r="I16" s="197"/>
      <c r="J16" s="244"/>
      <c r="K16" s="258"/>
      <c r="L16" s="197" t="s">
        <v>24</v>
      </c>
    </row>
    <row r="17">
      <c r="A17" s="32"/>
      <c r="B17" s="32"/>
      <c r="C17" s="77" t="s">
        <v>357</v>
      </c>
      <c r="D17" s="10"/>
      <c r="E17" s="245" t="s">
        <v>34</v>
      </c>
      <c r="F17" s="17"/>
      <c r="G17" s="248"/>
      <c r="H17" s="197" t="s">
        <v>24</v>
      </c>
      <c r="I17" s="197"/>
      <c r="J17" s="248"/>
      <c r="K17" s="260"/>
      <c r="L17" s="197" t="s">
        <v>24</v>
      </c>
    </row>
    <row r="18">
      <c r="A18" s="32"/>
      <c r="B18" s="32"/>
      <c r="C18" s="87" t="s">
        <v>358</v>
      </c>
      <c r="D18" s="10"/>
      <c r="E18" s="245"/>
      <c r="F18" s="212" t="s">
        <v>38</v>
      </c>
      <c r="G18" s="251"/>
      <c r="H18" s="197" t="s">
        <v>24</v>
      </c>
      <c r="I18" s="197"/>
      <c r="J18" s="251"/>
      <c r="K18" s="261"/>
      <c r="L18" s="197" t="s">
        <v>24</v>
      </c>
    </row>
    <row r="19">
      <c r="A19" s="32"/>
      <c r="B19" s="32"/>
      <c r="C19" s="129" t="s">
        <v>359</v>
      </c>
      <c r="D19" s="10"/>
      <c r="E19" s="245"/>
      <c r="F19" s="212" t="s">
        <v>38</v>
      </c>
      <c r="G19" s="251"/>
      <c r="H19" s="197" t="s">
        <v>24</v>
      </c>
      <c r="I19" s="197"/>
      <c r="J19" s="251"/>
      <c r="K19" s="261"/>
      <c r="L19" s="197" t="s">
        <v>24</v>
      </c>
    </row>
    <row r="20">
      <c r="A20" s="32"/>
      <c r="B20" s="32"/>
      <c r="C20" s="87" t="s">
        <v>360</v>
      </c>
      <c r="D20" s="10"/>
      <c r="E20" s="245"/>
      <c r="F20" s="212" t="s">
        <v>38</v>
      </c>
      <c r="G20" s="251"/>
      <c r="H20" s="197" t="s">
        <v>24</v>
      </c>
      <c r="I20" s="197"/>
      <c r="J20" s="251"/>
      <c r="K20" s="261"/>
      <c r="L20" s="197" t="s">
        <v>24</v>
      </c>
    </row>
    <row r="21">
      <c r="A21" s="32"/>
      <c r="B21" s="37"/>
      <c r="C21" s="77" t="s">
        <v>396</v>
      </c>
      <c r="D21" s="10"/>
      <c r="E21" s="245" t="s">
        <v>100</v>
      </c>
      <c r="F21" s="213" t="s">
        <v>103</v>
      </c>
      <c r="G21" s="251"/>
      <c r="H21" s="196" t="s">
        <v>385</v>
      </c>
      <c r="I21" s="196"/>
      <c r="J21" s="251"/>
      <c r="K21" s="251"/>
      <c r="L21" s="196" t="s">
        <v>385</v>
      </c>
    </row>
    <row r="22">
      <c r="A22" s="32"/>
      <c r="B22" s="216" t="s">
        <v>362</v>
      </c>
      <c r="C22" s="204" t="s">
        <v>363</v>
      </c>
      <c r="D22" s="10"/>
      <c r="E22" s="10"/>
      <c r="F22" s="213" t="s">
        <v>364</v>
      </c>
      <c r="G22" s="244"/>
      <c r="H22" s="197" t="s">
        <v>24</v>
      </c>
      <c r="I22" s="197"/>
      <c r="J22" s="244"/>
      <c r="K22" s="258"/>
      <c r="L22" s="197" t="s">
        <v>24</v>
      </c>
    </row>
    <row r="23">
      <c r="A23" s="32"/>
      <c r="B23" s="32"/>
      <c r="C23" s="204" t="s">
        <v>365</v>
      </c>
      <c r="D23" s="10"/>
      <c r="E23" s="10"/>
      <c r="F23" s="212" t="s">
        <v>105</v>
      </c>
      <c r="G23" s="248"/>
      <c r="H23" s="197" t="s">
        <v>24</v>
      </c>
      <c r="I23" s="197"/>
      <c r="J23" s="248"/>
      <c r="K23" s="258"/>
      <c r="L23" s="197" t="s">
        <v>24</v>
      </c>
    </row>
    <row r="24">
      <c r="A24" s="32"/>
      <c r="B24" s="37"/>
      <c r="C24" s="217" t="s">
        <v>366</v>
      </c>
      <c r="D24" s="10"/>
      <c r="E24" s="10"/>
      <c r="F24" s="212" t="s">
        <v>107</v>
      </c>
      <c r="G24" s="248"/>
      <c r="H24" s="197" t="s">
        <v>24</v>
      </c>
      <c r="I24" s="197"/>
      <c r="J24" s="248"/>
      <c r="K24" s="260"/>
      <c r="L24" s="197" t="s">
        <v>24</v>
      </c>
    </row>
    <row r="25">
      <c r="A25" s="203" t="s">
        <v>108</v>
      </c>
      <c r="B25" s="102" t="s">
        <v>109</v>
      </c>
      <c r="C25" s="77" t="s">
        <v>110</v>
      </c>
      <c r="D25" s="10"/>
      <c r="E25" s="10"/>
      <c r="F25" s="17"/>
      <c r="G25" s="248"/>
      <c r="H25" s="197" t="s">
        <v>24</v>
      </c>
      <c r="I25" s="197"/>
      <c r="J25" s="248"/>
      <c r="K25" s="260"/>
      <c r="L25" s="197" t="s">
        <v>24</v>
      </c>
    </row>
    <row r="26">
      <c r="A26" s="32"/>
      <c r="B26" s="32"/>
      <c r="C26" s="77" t="s">
        <v>112</v>
      </c>
      <c r="D26" s="10"/>
      <c r="E26" s="10"/>
      <c r="F26" s="17"/>
      <c r="G26" s="248"/>
      <c r="H26" s="197" t="s">
        <v>24</v>
      </c>
      <c r="I26" s="197"/>
      <c r="J26" s="248"/>
      <c r="K26" s="262"/>
      <c r="L26" s="197" t="s">
        <v>24</v>
      </c>
    </row>
    <row r="27">
      <c r="A27" s="32"/>
      <c r="B27" s="32"/>
      <c r="C27" s="80" t="s">
        <v>367</v>
      </c>
      <c r="D27" s="10"/>
      <c r="E27" s="243"/>
      <c r="F27" s="212" t="s">
        <v>38</v>
      </c>
      <c r="G27" s="248"/>
      <c r="H27" s="197" t="s">
        <v>24</v>
      </c>
      <c r="I27" s="197"/>
      <c r="J27" s="248"/>
      <c r="K27" s="260"/>
      <c r="L27" s="197" t="s">
        <v>24</v>
      </c>
    </row>
    <row r="28">
      <c r="A28" s="32"/>
      <c r="B28" s="32"/>
      <c r="C28" s="83" t="s">
        <v>114</v>
      </c>
      <c r="D28" s="10"/>
      <c r="E28" s="243" t="s">
        <v>115</v>
      </c>
      <c r="F28" s="17"/>
      <c r="G28" s="248"/>
      <c r="H28" s="197" t="s">
        <v>24</v>
      </c>
      <c r="I28" s="197"/>
      <c r="J28" s="248"/>
      <c r="K28" s="260"/>
      <c r="L28" s="197" t="s">
        <v>24</v>
      </c>
    </row>
    <row r="29">
      <c r="A29" s="32"/>
      <c r="B29" s="32"/>
      <c r="C29" s="85" t="s">
        <v>116</v>
      </c>
      <c r="D29" s="10"/>
      <c r="E29" s="10"/>
      <c r="F29" s="213" t="s">
        <v>117</v>
      </c>
      <c r="G29" s="248"/>
      <c r="H29" s="197" t="s">
        <v>24</v>
      </c>
      <c r="I29" s="197"/>
      <c r="J29" s="248"/>
      <c r="K29" s="244"/>
      <c r="L29" s="197" t="s">
        <v>24</v>
      </c>
    </row>
    <row r="30">
      <c r="A30" s="32"/>
      <c r="B30" s="32"/>
      <c r="C30" s="87" t="s">
        <v>118</v>
      </c>
      <c r="D30" s="10"/>
      <c r="E30" s="252" t="s">
        <v>386</v>
      </c>
      <c r="F30" s="213"/>
      <c r="G30" s="248"/>
      <c r="H30" s="197" t="s">
        <v>24</v>
      </c>
      <c r="I30" s="197"/>
      <c r="J30" s="248"/>
      <c r="K30" s="260"/>
      <c r="L30" s="197" t="s">
        <v>24</v>
      </c>
    </row>
    <row r="31">
      <c r="A31" s="32"/>
      <c r="B31" s="32"/>
      <c r="C31" s="90" t="s">
        <v>120</v>
      </c>
      <c r="D31" s="10"/>
      <c r="E31" s="252" t="s">
        <v>121</v>
      </c>
      <c r="F31" s="213" t="s">
        <v>122</v>
      </c>
      <c r="G31" s="248"/>
      <c r="H31" s="197" t="s">
        <v>24</v>
      </c>
      <c r="I31" s="197"/>
      <c r="J31" s="248"/>
      <c r="K31" s="260"/>
      <c r="L31" s="197" t="s">
        <v>24</v>
      </c>
    </row>
    <row r="32">
      <c r="A32" s="32"/>
      <c r="B32" s="32"/>
      <c r="C32" s="91" t="s">
        <v>123</v>
      </c>
      <c r="D32" s="10"/>
      <c r="E32" s="10"/>
      <c r="F32" s="213" t="s">
        <v>124</v>
      </c>
      <c r="G32" s="253"/>
      <c r="H32" s="197" t="s">
        <v>24</v>
      </c>
      <c r="I32" s="197"/>
      <c r="J32" s="253"/>
      <c r="K32" s="258"/>
      <c r="L32" s="197" t="s">
        <v>24</v>
      </c>
    </row>
    <row r="33">
      <c r="A33" s="32"/>
      <c r="B33" s="32"/>
      <c r="C33" s="92" t="s">
        <v>125</v>
      </c>
      <c r="D33" s="10"/>
      <c r="E33" s="10"/>
      <c r="F33" s="213" t="s">
        <v>126</v>
      </c>
      <c r="G33" s="248"/>
      <c r="H33" s="197" t="s">
        <v>24</v>
      </c>
      <c r="I33" s="197"/>
      <c r="J33" s="248"/>
      <c r="K33" s="244"/>
      <c r="L33" s="197" t="s">
        <v>24</v>
      </c>
    </row>
    <row r="34">
      <c r="A34" s="32"/>
      <c r="B34" s="32"/>
      <c r="C34" s="77" t="s">
        <v>127</v>
      </c>
      <c r="D34" s="10"/>
      <c r="E34" s="10"/>
      <c r="F34" s="213" t="s">
        <v>128</v>
      </c>
      <c r="G34" s="248"/>
      <c r="H34" s="197" t="s">
        <v>24</v>
      </c>
      <c r="I34" s="197"/>
      <c r="J34" s="248"/>
      <c r="K34" s="258"/>
      <c r="L34" s="197" t="s">
        <v>24</v>
      </c>
    </row>
    <row r="35">
      <c r="A35" s="32"/>
      <c r="B35" s="32"/>
      <c r="C35" s="93" t="s">
        <v>129</v>
      </c>
      <c r="D35" s="10"/>
      <c r="E35" s="245" t="s">
        <v>313</v>
      </c>
      <c r="F35" s="17"/>
      <c r="G35" s="244"/>
      <c r="H35" s="197" t="s">
        <v>24</v>
      </c>
      <c r="I35" s="197"/>
      <c r="J35" s="244"/>
      <c r="K35" s="258"/>
      <c r="L35" s="197" t="s">
        <v>24</v>
      </c>
    </row>
    <row r="36">
      <c r="A36" s="32"/>
      <c r="B36" s="32"/>
      <c r="C36" s="92" t="s">
        <v>368</v>
      </c>
      <c r="D36" s="10"/>
      <c r="E36" s="10"/>
      <c r="F36" s="17"/>
      <c r="G36" s="248"/>
      <c r="H36" s="197" t="s">
        <v>24</v>
      </c>
      <c r="I36" s="197"/>
      <c r="J36" s="248"/>
      <c r="K36" s="260"/>
      <c r="L36" s="197" t="s">
        <v>24</v>
      </c>
    </row>
    <row r="37">
      <c r="A37" s="32"/>
      <c r="B37" s="32"/>
      <c r="C37" s="96" t="s">
        <v>132</v>
      </c>
      <c r="D37" s="10"/>
      <c r="E37" s="10"/>
      <c r="F37" s="220" t="s">
        <v>133</v>
      </c>
      <c r="G37" s="253"/>
      <c r="H37" s="197" t="s">
        <v>24</v>
      </c>
      <c r="I37" s="197"/>
      <c r="J37" s="253"/>
      <c r="K37" s="260"/>
      <c r="L37" s="197" t="s">
        <v>24</v>
      </c>
    </row>
    <row r="38">
      <c r="A38" s="32"/>
      <c r="B38" s="32"/>
      <c r="C38" s="98" t="s">
        <v>134</v>
      </c>
      <c r="D38" s="10"/>
      <c r="E38" s="10"/>
      <c r="F38" s="221" t="s">
        <v>136</v>
      </c>
      <c r="G38" s="244"/>
      <c r="H38" s="199" t="s">
        <v>394</v>
      </c>
      <c r="I38" s="199"/>
      <c r="J38" s="244"/>
      <c r="K38" s="258"/>
      <c r="L38" s="199" t="s">
        <v>394</v>
      </c>
    </row>
    <row r="39">
      <c r="A39" s="32"/>
      <c r="B39" s="32"/>
      <c r="C39" s="92" t="s">
        <v>137</v>
      </c>
      <c r="D39" s="10"/>
      <c r="E39" s="10"/>
      <c r="F39" s="17"/>
      <c r="G39" s="248"/>
      <c r="H39" s="197" t="s">
        <v>24</v>
      </c>
      <c r="I39" s="197"/>
      <c r="J39" s="248"/>
      <c r="K39" s="259"/>
      <c r="L39" s="197" t="s">
        <v>24</v>
      </c>
    </row>
    <row r="40">
      <c r="A40" s="32"/>
      <c r="B40" s="32"/>
      <c r="C40" s="92" t="s">
        <v>138</v>
      </c>
      <c r="D40" s="10"/>
      <c r="E40" s="10"/>
      <c r="F40" s="17"/>
      <c r="G40" s="248"/>
      <c r="H40" s="197" t="s">
        <v>24</v>
      </c>
      <c r="I40" s="197"/>
      <c r="J40" s="248"/>
      <c r="K40" s="260"/>
      <c r="L40" s="197" t="s">
        <v>24</v>
      </c>
    </row>
    <row r="41">
      <c r="A41" s="32"/>
      <c r="B41" s="37"/>
      <c r="C41" s="101" t="s">
        <v>139</v>
      </c>
      <c r="D41" s="10"/>
      <c r="E41" s="10"/>
      <c r="F41" s="17"/>
      <c r="G41" s="248"/>
      <c r="H41" s="197" t="s">
        <v>24</v>
      </c>
      <c r="I41" s="197"/>
      <c r="J41" s="248"/>
      <c r="K41" s="260"/>
      <c r="L41" s="197" t="s">
        <v>24</v>
      </c>
    </row>
    <row r="42">
      <c r="A42" s="32"/>
      <c r="B42" s="102" t="s">
        <v>140</v>
      </c>
      <c r="C42" s="103" t="s">
        <v>141</v>
      </c>
      <c r="D42" s="245"/>
      <c r="E42" s="245" t="s">
        <v>388</v>
      </c>
      <c r="F42" s="17"/>
      <c r="G42" s="244"/>
      <c r="H42" s="197" t="s">
        <v>24</v>
      </c>
      <c r="I42" s="197"/>
      <c r="J42" s="244"/>
      <c r="K42" s="244"/>
      <c r="L42" s="197" t="s">
        <v>24</v>
      </c>
    </row>
    <row r="43">
      <c r="A43" s="32"/>
      <c r="B43" s="32"/>
      <c r="C43" s="106" t="s">
        <v>145</v>
      </c>
      <c r="D43" s="10"/>
      <c r="E43" s="10"/>
      <c r="F43" s="213"/>
      <c r="G43" s="244"/>
      <c r="H43" s="197" t="s">
        <v>24</v>
      </c>
      <c r="I43" s="197"/>
      <c r="J43" s="244"/>
      <c r="K43" s="244"/>
      <c r="L43" s="197" t="s">
        <v>24</v>
      </c>
    </row>
    <row r="44">
      <c r="A44" s="32"/>
      <c r="B44" s="32"/>
      <c r="C44" s="93" t="s">
        <v>146</v>
      </c>
      <c r="D44" s="10"/>
      <c r="E44" s="10"/>
      <c r="F44" s="213" t="s">
        <v>147</v>
      </c>
      <c r="G44" s="244"/>
      <c r="H44" s="197" t="s">
        <v>24</v>
      </c>
      <c r="I44" s="197"/>
      <c r="J44" s="244"/>
      <c r="K44" s="244"/>
      <c r="L44" s="197" t="s">
        <v>24</v>
      </c>
    </row>
    <row r="45">
      <c r="A45" s="32"/>
      <c r="B45" s="32"/>
      <c r="C45" s="107" t="s">
        <v>148</v>
      </c>
      <c r="D45" s="10"/>
      <c r="E45" s="10"/>
      <c r="F45" s="213" t="s">
        <v>149</v>
      </c>
      <c r="G45" s="244"/>
      <c r="H45" s="196" t="s">
        <v>200</v>
      </c>
      <c r="I45" s="196"/>
      <c r="J45" s="244"/>
      <c r="K45" s="258"/>
      <c r="L45" s="196" t="s">
        <v>200</v>
      </c>
    </row>
    <row r="46">
      <c r="A46" s="32"/>
      <c r="B46" s="32"/>
      <c r="C46" s="108" t="s">
        <v>150</v>
      </c>
      <c r="D46" s="10"/>
      <c r="E46" s="10"/>
      <c r="F46" s="213" t="s">
        <v>149</v>
      </c>
      <c r="G46" s="248"/>
      <c r="H46" s="197" t="s">
        <v>24</v>
      </c>
      <c r="I46" s="197"/>
      <c r="J46" s="248"/>
      <c r="K46" s="244"/>
      <c r="L46" s="197" t="s">
        <v>24</v>
      </c>
    </row>
    <row r="47">
      <c r="A47" s="32"/>
      <c r="B47" s="32"/>
      <c r="C47" s="109" t="s">
        <v>151</v>
      </c>
      <c r="D47" s="10"/>
      <c r="E47" s="10"/>
      <c r="F47" s="212" t="s">
        <v>153</v>
      </c>
      <c r="G47" s="248"/>
      <c r="H47" s="197" t="s">
        <v>24</v>
      </c>
      <c r="I47" s="197"/>
      <c r="J47" s="248"/>
      <c r="K47" s="244"/>
      <c r="L47" s="197" t="s">
        <v>24</v>
      </c>
    </row>
    <row r="48">
      <c r="A48" s="32"/>
      <c r="B48" s="32"/>
      <c r="C48" s="110" t="s">
        <v>154</v>
      </c>
      <c r="D48" s="10"/>
      <c r="E48" s="10"/>
      <c r="F48" s="17"/>
      <c r="G48" s="248"/>
      <c r="H48" s="197" t="s">
        <v>24</v>
      </c>
      <c r="I48" s="197"/>
      <c r="J48" s="248"/>
      <c r="K48" s="244"/>
      <c r="L48" s="197" t="s">
        <v>24</v>
      </c>
    </row>
    <row r="49">
      <c r="A49" s="32"/>
      <c r="B49" s="32"/>
      <c r="C49" s="111" t="s">
        <v>155</v>
      </c>
      <c r="D49" s="10"/>
      <c r="E49" s="10"/>
      <c r="F49" s="221" t="s">
        <v>397</v>
      </c>
      <c r="G49" s="251"/>
      <c r="H49" s="199" t="s">
        <v>101</v>
      </c>
      <c r="I49" s="199"/>
      <c r="J49" s="251"/>
      <c r="K49" s="251"/>
      <c r="L49" s="199" t="s">
        <v>101</v>
      </c>
    </row>
    <row r="50">
      <c r="A50" s="32"/>
      <c r="B50" s="32"/>
      <c r="C50" s="112" t="s">
        <v>157</v>
      </c>
      <c r="D50" s="10"/>
      <c r="E50" s="243" t="s">
        <v>158</v>
      </c>
      <c r="F50" s="17"/>
      <c r="G50" s="248"/>
      <c r="H50" s="197" t="s">
        <v>24</v>
      </c>
      <c r="I50" s="197"/>
      <c r="J50" s="248"/>
      <c r="K50" s="244"/>
      <c r="L50" s="197" t="s">
        <v>24</v>
      </c>
    </row>
    <row r="51">
      <c r="A51" s="32"/>
      <c r="B51" s="32"/>
      <c r="C51" s="83" t="s">
        <v>159</v>
      </c>
      <c r="D51" s="10"/>
      <c r="E51" s="10"/>
      <c r="F51" s="17"/>
      <c r="G51" s="248"/>
      <c r="H51" s="197" t="s">
        <v>24</v>
      </c>
      <c r="I51" s="197"/>
      <c r="J51" s="248"/>
      <c r="K51" s="263"/>
      <c r="L51" s="197" t="s">
        <v>24</v>
      </c>
    </row>
    <row r="52">
      <c r="A52" s="32"/>
      <c r="B52" s="32"/>
      <c r="C52" s="93" t="s">
        <v>161</v>
      </c>
      <c r="D52" s="10"/>
      <c r="E52" s="10"/>
      <c r="F52" s="17"/>
      <c r="G52" s="248"/>
      <c r="H52" s="197" t="s">
        <v>24</v>
      </c>
      <c r="I52" s="197"/>
      <c r="J52" s="248"/>
      <c r="K52" s="260"/>
      <c r="L52" s="197" t="s">
        <v>24</v>
      </c>
    </row>
    <row r="53">
      <c r="A53" s="32"/>
      <c r="B53" s="32"/>
      <c r="C53" s="93" t="s">
        <v>162</v>
      </c>
      <c r="D53" s="10"/>
      <c r="E53" s="10"/>
      <c r="F53" s="223"/>
      <c r="G53" s="244"/>
      <c r="H53" s="196" t="s">
        <v>394</v>
      </c>
      <c r="I53" s="196"/>
      <c r="J53" s="244"/>
      <c r="K53" s="244"/>
      <c r="L53" s="196" t="s">
        <v>394</v>
      </c>
    </row>
    <row r="54">
      <c r="A54" s="32"/>
      <c r="B54" s="32"/>
      <c r="C54" s="106" t="s">
        <v>164</v>
      </c>
      <c r="D54" s="10"/>
      <c r="E54" s="10"/>
      <c r="F54" s="224" t="s">
        <v>165</v>
      </c>
      <c r="G54" s="244"/>
      <c r="H54" s="197" t="s">
        <v>24</v>
      </c>
      <c r="I54" s="197"/>
      <c r="J54" s="244"/>
      <c r="K54" s="244"/>
      <c r="L54" s="197" t="s">
        <v>24</v>
      </c>
    </row>
    <row r="55">
      <c r="A55" s="32"/>
      <c r="B55" s="32"/>
      <c r="C55" s="106" t="s">
        <v>166</v>
      </c>
      <c r="D55" s="10"/>
      <c r="E55" s="10"/>
      <c r="F55" s="212" t="s">
        <v>167</v>
      </c>
      <c r="G55" s="244"/>
      <c r="H55" s="197" t="s">
        <v>24</v>
      </c>
      <c r="I55" s="197"/>
      <c r="J55" s="244"/>
      <c r="K55" s="260"/>
      <c r="L55" s="197" t="s">
        <v>24</v>
      </c>
    </row>
    <row r="56">
      <c r="A56" s="32"/>
      <c r="B56" s="37"/>
      <c r="C56" s="93" t="s">
        <v>168</v>
      </c>
      <c r="D56" s="10"/>
      <c r="E56" s="10"/>
      <c r="F56" s="17"/>
      <c r="G56" s="244"/>
      <c r="H56" s="197" t="s">
        <v>24</v>
      </c>
      <c r="I56" s="197"/>
      <c r="J56" s="244"/>
      <c r="K56" s="263"/>
      <c r="L56" s="197" t="s">
        <v>24</v>
      </c>
    </row>
    <row r="57">
      <c r="A57" s="32"/>
      <c r="B57" s="115" t="s">
        <v>169</v>
      </c>
      <c r="C57" s="85" t="s">
        <v>141</v>
      </c>
      <c r="D57" s="10"/>
      <c r="E57" s="10"/>
      <c r="F57" s="213" t="s">
        <v>170</v>
      </c>
      <c r="G57" s="244"/>
      <c r="H57" s="197" t="s">
        <v>24</v>
      </c>
      <c r="I57" s="197"/>
      <c r="J57" s="244"/>
      <c r="K57" s="264"/>
      <c r="L57" s="197" t="s">
        <v>24</v>
      </c>
    </row>
    <row r="58">
      <c r="A58" s="32"/>
      <c r="B58" s="32"/>
      <c r="C58" s="85" t="s">
        <v>171</v>
      </c>
      <c r="D58" s="256" t="s">
        <v>334</v>
      </c>
      <c r="E58" s="10"/>
      <c r="F58" s="212" t="s">
        <v>173</v>
      </c>
      <c r="G58" s="244"/>
      <c r="H58" s="197" t="s">
        <v>24</v>
      </c>
      <c r="I58" s="197"/>
      <c r="J58" s="244"/>
      <c r="K58" s="264"/>
      <c r="L58" s="197" t="s">
        <v>24</v>
      </c>
    </row>
    <row r="59">
      <c r="A59" s="32"/>
      <c r="B59" s="32"/>
      <c r="C59" s="116" t="s">
        <v>315</v>
      </c>
      <c r="D59" s="10"/>
      <c r="E59" s="10"/>
      <c r="F59" s="225" t="s">
        <v>176</v>
      </c>
      <c r="G59" s="244"/>
      <c r="H59" s="197" t="s">
        <v>24</v>
      </c>
      <c r="I59" s="197"/>
      <c r="J59" s="244"/>
      <c r="K59" s="260"/>
      <c r="L59" s="197" t="s">
        <v>24</v>
      </c>
    </row>
    <row r="60">
      <c r="A60" s="32"/>
      <c r="B60" s="37"/>
      <c r="C60" s="77" t="s">
        <v>177</v>
      </c>
      <c r="D60" s="10"/>
      <c r="E60" s="10"/>
      <c r="F60" s="17"/>
      <c r="G60" s="248"/>
      <c r="H60" s="197" t="s">
        <v>24</v>
      </c>
      <c r="I60" s="197"/>
      <c r="J60" s="248"/>
      <c r="K60" s="260"/>
      <c r="L60" s="197" t="s">
        <v>24</v>
      </c>
    </row>
    <row r="61">
      <c r="A61" s="32"/>
      <c r="B61" s="102" t="s">
        <v>178</v>
      </c>
      <c r="C61" s="93" t="s">
        <v>179</v>
      </c>
      <c r="D61" s="10"/>
      <c r="E61" s="10"/>
      <c r="F61" s="17"/>
      <c r="G61" s="248"/>
      <c r="H61" s="197" t="s">
        <v>24</v>
      </c>
      <c r="I61" s="197"/>
      <c r="J61" s="248"/>
      <c r="K61" s="260"/>
      <c r="L61" s="197" t="s">
        <v>24</v>
      </c>
    </row>
    <row r="62">
      <c r="A62" s="32"/>
      <c r="B62" s="32"/>
      <c r="C62" s="93" t="s">
        <v>141</v>
      </c>
      <c r="D62" s="10"/>
      <c r="E62" s="10"/>
      <c r="F62" s="17"/>
      <c r="G62" s="248"/>
      <c r="H62" s="197" t="s">
        <v>24</v>
      </c>
      <c r="I62" s="197"/>
      <c r="J62" s="248"/>
      <c r="K62" s="263"/>
      <c r="L62" s="197" t="s">
        <v>24</v>
      </c>
    </row>
    <row r="63">
      <c r="A63" s="32"/>
      <c r="B63" s="32"/>
      <c r="C63" s="106" t="s">
        <v>181</v>
      </c>
      <c r="D63" s="10"/>
      <c r="E63" s="10"/>
      <c r="F63" s="213" t="s">
        <v>182</v>
      </c>
      <c r="G63" s="248"/>
      <c r="H63" s="197" t="s">
        <v>24</v>
      </c>
      <c r="I63" s="197"/>
      <c r="J63" s="248"/>
      <c r="K63" s="244"/>
      <c r="L63" s="197" t="s">
        <v>24</v>
      </c>
    </row>
    <row r="64">
      <c r="A64" s="32"/>
      <c r="B64" s="32"/>
      <c r="C64" s="93" t="s">
        <v>183</v>
      </c>
      <c r="D64" s="10"/>
      <c r="E64" s="10"/>
      <c r="F64" s="17"/>
      <c r="G64" s="248"/>
      <c r="H64" s="197" t="s">
        <v>24</v>
      </c>
      <c r="I64" s="197"/>
      <c r="J64" s="248"/>
      <c r="K64" s="244"/>
      <c r="L64" s="197" t="s">
        <v>24</v>
      </c>
    </row>
    <row r="65">
      <c r="A65" s="32"/>
      <c r="B65" s="32"/>
      <c r="C65" s="93" t="s">
        <v>184</v>
      </c>
      <c r="D65" s="10"/>
      <c r="E65" s="10"/>
      <c r="F65" s="17"/>
      <c r="G65" s="248"/>
      <c r="H65" s="197" t="s">
        <v>24</v>
      </c>
      <c r="I65" s="197"/>
      <c r="J65" s="248"/>
      <c r="K65" s="244"/>
      <c r="L65" s="197" t="s">
        <v>24</v>
      </c>
    </row>
    <row r="66">
      <c r="A66" s="32"/>
      <c r="B66" s="32"/>
      <c r="C66" s="106" t="s">
        <v>185</v>
      </c>
      <c r="D66" s="10"/>
      <c r="E66" s="10"/>
      <c r="F66" s="213" t="s">
        <v>186</v>
      </c>
      <c r="G66" s="248"/>
      <c r="H66" s="197" t="s">
        <v>24</v>
      </c>
      <c r="I66" s="197"/>
      <c r="J66" s="248"/>
      <c r="K66" s="244"/>
      <c r="L66" s="197" t="s">
        <v>24</v>
      </c>
    </row>
    <row r="67">
      <c r="A67" s="32"/>
      <c r="B67" s="32"/>
      <c r="C67" s="87" t="s">
        <v>187</v>
      </c>
      <c r="D67" s="10"/>
      <c r="E67" s="10"/>
      <c r="F67" s="17"/>
      <c r="G67" s="248"/>
      <c r="H67" s="197" t="s">
        <v>24</v>
      </c>
      <c r="I67" s="197"/>
      <c r="J67" s="248"/>
      <c r="K67" s="244"/>
      <c r="L67" s="197" t="s">
        <v>24</v>
      </c>
    </row>
    <row r="68">
      <c r="A68" s="32"/>
      <c r="B68" s="32"/>
      <c r="C68" s="87" t="s">
        <v>188</v>
      </c>
      <c r="D68" s="10"/>
      <c r="E68" s="10"/>
      <c r="F68" s="212" t="s">
        <v>189</v>
      </c>
      <c r="G68" s="248"/>
      <c r="H68" s="197" t="s">
        <v>24</v>
      </c>
      <c r="I68" s="197"/>
      <c r="J68" s="248"/>
      <c r="K68" s="244"/>
      <c r="L68" s="197" t="s">
        <v>24</v>
      </c>
    </row>
    <row r="69">
      <c r="A69" s="32"/>
      <c r="B69" s="32"/>
      <c r="C69" s="77" t="s">
        <v>190</v>
      </c>
      <c r="D69" s="10"/>
      <c r="E69" s="10"/>
      <c r="F69" s="17"/>
      <c r="G69" s="246"/>
      <c r="H69" s="196" t="s">
        <v>389</v>
      </c>
      <c r="I69" s="196"/>
      <c r="J69" s="246"/>
      <c r="K69" s="265"/>
      <c r="L69" s="196" t="s">
        <v>389</v>
      </c>
    </row>
    <row r="70">
      <c r="A70" s="32"/>
      <c r="B70" s="32"/>
      <c r="C70" s="106" t="s">
        <v>191</v>
      </c>
      <c r="D70" s="10"/>
      <c r="E70" s="10"/>
      <c r="F70" s="213" t="s">
        <v>192</v>
      </c>
      <c r="G70" s="248"/>
      <c r="H70" s="197" t="s">
        <v>24</v>
      </c>
      <c r="I70" s="197"/>
      <c r="J70" s="248"/>
      <c r="K70" s="260"/>
      <c r="L70" s="197" t="s">
        <v>24</v>
      </c>
    </row>
    <row r="71">
      <c r="A71" s="32"/>
      <c r="B71" s="32"/>
      <c r="C71" s="106" t="s">
        <v>193</v>
      </c>
      <c r="D71" s="10"/>
      <c r="E71" s="10"/>
      <c r="F71" s="17"/>
      <c r="G71" s="248"/>
      <c r="H71" s="197" t="s">
        <v>24</v>
      </c>
      <c r="I71" s="197"/>
      <c r="J71" s="248"/>
      <c r="K71" s="260"/>
      <c r="L71" s="197" t="s">
        <v>24</v>
      </c>
    </row>
    <row r="72">
      <c r="A72" s="32"/>
      <c r="B72" s="32"/>
      <c r="C72" s="93" t="s">
        <v>194</v>
      </c>
      <c r="D72" s="10"/>
      <c r="E72" s="10"/>
      <c r="F72" s="17"/>
      <c r="G72" s="248"/>
      <c r="H72" s="197" t="s">
        <v>24</v>
      </c>
      <c r="I72" s="197"/>
      <c r="J72" s="248"/>
      <c r="K72" s="260"/>
      <c r="L72" s="197" t="s">
        <v>24</v>
      </c>
    </row>
    <row r="73">
      <c r="A73" s="32"/>
      <c r="B73" s="32"/>
      <c r="C73" s="103" t="s">
        <v>195</v>
      </c>
      <c r="D73" s="10"/>
      <c r="E73" s="10"/>
      <c r="F73" s="213" t="s">
        <v>196</v>
      </c>
      <c r="G73" s="248"/>
      <c r="H73" s="197" t="s">
        <v>24</v>
      </c>
      <c r="I73" s="197"/>
      <c r="J73" s="248"/>
      <c r="K73" s="244"/>
      <c r="L73" s="197" t="s">
        <v>24</v>
      </c>
    </row>
    <row r="74">
      <c r="A74" s="32"/>
      <c r="B74" s="32"/>
      <c r="C74" s="93" t="s">
        <v>197</v>
      </c>
      <c r="D74" s="10"/>
      <c r="E74" s="10"/>
      <c r="F74" s="213" t="s">
        <v>196</v>
      </c>
      <c r="G74" s="248"/>
      <c r="H74" s="197" t="s">
        <v>24</v>
      </c>
      <c r="I74" s="197"/>
      <c r="J74" s="248"/>
      <c r="K74" s="244"/>
      <c r="L74" s="197" t="s">
        <v>24</v>
      </c>
    </row>
    <row r="75">
      <c r="A75" s="32"/>
      <c r="B75" s="32"/>
      <c r="C75" s="226" t="s">
        <v>198</v>
      </c>
      <c r="D75" s="10"/>
      <c r="E75" s="10"/>
      <c r="F75" s="213" t="s">
        <v>196</v>
      </c>
      <c r="G75" s="248"/>
      <c r="H75" s="197" t="s">
        <v>24</v>
      </c>
      <c r="I75" s="197"/>
      <c r="J75" s="248"/>
      <c r="K75" s="244"/>
      <c r="L75" s="197" t="s">
        <v>24</v>
      </c>
    </row>
    <row r="76">
      <c r="A76" s="32"/>
      <c r="B76" s="32"/>
      <c r="C76" s="118" t="s">
        <v>199</v>
      </c>
      <c r="D76" s="10"/>
      <c r="E76" s="10"/>
      <c r="F76" s="212" t="s">
        <v>200</v>
      </c>
      <c r="G76" s="244"/>
      <c r="H76" s="196" t="s">
        <v>200</v>
      </c>
      <c r="I76" s="196"/>
      <c r="J76" s="244"/>
      <c r="K76" s="244"/>
      <c r="L76" s="196" t="s">
        <v>200</v>
      </c>
    </row>
    <row r="77">
      <c r="A77" s="32"/>
      <c r="B77" s="32"/>
      <c r="C77" s="227" t="s">
        <v>201</v>
      </c>
      <c r="D77" s="10"/>
      <c r="E77" s="10"/>
      <c r="F77" s="213" t="s">
        <v>202</v>
      </c>
      <c r="G77" s="248"/>
      <c r="H77" s="197" t="s">
        <v>24</v>
      </c>
      <c r="I77" s="197"/>
      <c r="J77" s="248"/>
      <c r="K77" s="260"/>
      <c r="L77" s="197" t="s">
        <v>24</v>
      </c>
    </row>
    <row r="78">
      <c r="A78" s="32"/>
      <c r="B78" s="32"/>
      <c r="C78" s="119" t="s">
        <v>203</v>
      </c>
      <c r="D78" s="10"/>
      <c r="E78" s="10"/>
      <c r="F78" s="213" t="s">
        <v>124</v>
      </c>
      <c r="G78" s="246"/>
      <c r="H78" s="197" t="s">
        <v>24</v>
      </c>
      <c r="I78" s="197"/>
      <c r="J78" s="246"/>
      <c r="K78" s="244"/>
      <c r="L78" s="197" t="s">
        <v>24</v>
      </c>
    </row>
    <row r="79">
      <c r="A79" s="32"/>
      <c r="B79" s="32"/>
      <c r="C79" s="120" t="s">
        <v>316</v>
      </c>
      <c r="D79" s="10"/>
      <c r="E79" s="10"/>
      <c r="F79" s="213" t="s">
        <v>124</v>
      </c>
      <c r="G79" s="248"/>
      <c r="H79" s="197" t="s">
        <v>24</v>
      </c>
      <c r="I79" s="197"/>
      <c r="J79" s="248"/>
      <c r="K79" s="259"/>
      <c r="L79" s="197" t="s">
        <v>24</v>
      </c>
    </row>
    <row r="80">
      <c r="A80" s="32"/>
      <c r="B80" s="37"/>
      <c r="C80" s="121" t="s">
        <v>205</v>
      </c>
      <c r="D80" s="245" t="s">
        <v>206</v>
      </c>
      <c r="E80" s="10"/>
      <c r="F80" s="213" t="s">
        <v>207</v>
      </c>
      <c r="G80" s="248"/>
      <c r="H80" s="197" t="s">
        <v>24</v>
      </c>
      <c r="I80" s="197"/>
      <c r="J80" s="248"/>
      <c r="K80" s="244"/>
      <c r="L80" s="197" t="s">
        <v>24</v>
      </c>
    </row>
    <row r="81">
      <c r="A81" s="32"/>
      <c r="B81" s="102" t="s">
        <v>208</v>
      </c>
      <c r="C81" s="106" t="s">
        <v>209</v>
      </c>
      <c r="D81" s="10"/>
      <c r="E81" s="10"/>
      <c r="F81" s="17"/>
      <c r="G81" s="248"/>
      <c r="H81" s="197" t="s">
        <v>24</v>
      </c>
      <c r="I81" s="197"/>
      <c r="J81" s="248"/>
      <c r="K81" s="244"/>
      <c r="L81" s="197" t="s">
        <v>24</v>
      </c>
    </row>
    <row r="82">
      <c r="A82" s="32"/>
      <c r="B82" s="32"/>
      <c r="C82" s="123" t="s">
        <v>210</v>
      </c>
      <c r="D82" s="10"/>
      <c r="E82" s="10"/>
      <c r="F82" s="213" t="s">
        <v>211</v>
      </c>
      <c r="G82" s="248"/>
      <c r="H82" s="197" t="s">
        <v>24</v>
      </c>
      <c r="I82" s="197"/>
      <c r="J82" s="248"/>
      <c r="K82" s="244"/>
      <c r="L82" s="197" t="s">
        <v>24</v>
      </c>
    </row>
    <row r="83">
      <c r="A83" s="32"/>
      <c r="B83" s="32"/>
      <c r="C83" s="124" t="s">
        <v>212</v>
      </c>
      <c r="D83" s="10"/>
      <c r="E83" s="10"/>
      <c r="F83" s="17"/>
      <c r="G83" s="248"/>
      <c r="H83" s="197" t="s">
        <v>24</v>
      </c>
      <c r="I83" s="197"/>
      <c r="J83" s="248"/>
      <c r="K83" s="244"/>
      <c r="L83" s="197" t="s">
        <v>24</v>
      </c>
    </row>
    <row r="84">
      <c r="A84" s="32"/>
      <c r="B84" s="32"/>
      <c r="C84" s="125" t="s">
        <v>213</v>
      </c>
      <c r="D84" s="10"/>
      <c r="E84" s="10"/>
      <c r="F84" s="17"/>
      <c r="G84" s="248"/>
      <c r="H84" s="197" t="s">
        <v>24</v>
      </c>
      <c r="I84" s="197"/>
      <c r="J84" s="248"/>
      <c r="K84" s="244"/>
      <c r="L84" s="197" t="s">
        <v>24</v>
      </c>
    </row>
    <row r="85">
      <c r="A85" s="32"/>
      <c r="B85" s="37"/>
      <c r="C85" s="124" t="s">
        <v>214</v>
      </c>
      <c r="D85" s="10"/>
      <c r="E85" s="10"/>
      <c r="F85" s="17"/>
      <c r="G85" s="248"/>
      <c r="H85" s="197" t="s">
        <v>24</v>
      </c>
      <c r="I85" s="197"/>
      <c r="J85" s="248"/>
      <c r="K85" s="260"/>
      <c r="L85" s="197" t="s">
        <v>24</v>
      </c>
    </row>
    <row r="86">
      <c r="A86" s="32"/>
      <c r="B86" s="115" t="s">
        <v>217</v>
      </c>
      <c r="C86" s="124" t="s">
        <v>218</v>
      </c>
      <c r="D86" s="10"/>
      <c r="E86" s="10"/>
      <c r="F86" s="17"/>
      <c r="G86" s="248"/>
      <c r="H86" s="197" t="s">
        <v>24</v>
      </c>
      <c r="I86" s="197"/>
      <c r="J86" s="248"/>
      <c r="K86" s="244"/>
      <c r="L86" s="197" t="s">
        <v>24</v>
      </c>
    </row>
    <row r="87">
      <c r="A87" s="32"/>
      <c r="B87" s="32"/>
      <c r="C87" s="124" t="s">
        <v>220</v>
      </c>
      <c r="D87" s="10"/>
      <c r="E87" s="10"/>
      <c r="F87" s="17"/>
      <c r="G87" s="248"/>
      <c r="H87" s="197" t="s">
        <v>24</v>
      </c>
      <c r="I87" s="197"/>
      <c r="J87" s="248"/>
      <c r="K87" s="258"/>
      <c r="L87" s="197" t="s">
        <v>24</v>
      </c>
    </row>
    <row r="88">
      <c r="A88" s="32"/>
      <c r="B88" s="32"/>
      <c r="C88" s="129" t="s">
        <v>221</v>
      </c>
      <c r="D88" s="10"/>
      <c r="E88" s="10"/>
      <c r="F88" s="213" t="s">
        <v>222</v>
      </c>
      <c r="G88" s="248"/>
      <c r="H88" s="197" t="s">
        <v>24</v>
      </c>
      <c r="I88" s="197"/>
      <c r="J88" s="248"/>
      <c r="K88" s="260"/>
      <c r="L88" s="197" t="s">
        <v>24</v>
      </c>
    </row>
    <row r="89">
      <c r="A89" s="32"/>
      <c r="B89" s="37"/>
      <c r="C89" s="124" t="s">
        <v>223</v>
      </c>
      <c r="D89" s="10"/>
      <c r="E89" s="10"/>
      <c r="F89" s="213" t="s">
        <v>224</v>
      </c>
      <c r="G89" s="244"/>
      <c r="H89" s="197" t="s">
        <v>24</v>
      </c>
      <c r="I89" s="197"/>
      <c r="J89" s="244"/>
      <c r="K89" s="260"/>
      <c r="L89" s="197" t="s">
        <v>24</v>
      </c>
    </row>
    <row r="90">
      <c r="A90" s="32"/>
      <c r="B90" s="102" t="s">
        <v>244</v>
      </c>
      <c r="C90" s="106" t="s">
        <v>245</v>
      </c>
      <c r="D90" s="10"/>
      <c r="E90" s="245" t="s">
        <v>248</v>
      </c>
      <c r="F90" s="237" t="s">
        <v>319</v>
      </c>
      <c r="G90" s="244"/>
      <c r="H90" s="197" t="s">
        <v>24</v>
      </c>
      <c r="I90" s="197"/>
      <c r="J90" s="244"/>
      <c r="K90" s="258"/>
      <c r="L90" s="197" t="s">
        <v>24</v>
      </c>
    </row>
    <row r="91">
      <c r="A91" s="32"/>
      <c r="B91" s="32"/>
      <c r="C91" s="123" t="s">
        <v>247</v>
      </c>
      <c r="D91" s="10"/>
      <c r="E91" s="245" t="s">
        <v>248</v>
      </c>
      <c r="F91" s="213" t="s">
        <v>207</v>
      </c>
      <c r="G91" s="248"/>
      <c r="H91" s="197" t="s">
        <v>24</v>
      </c>
      <c r="I91" s="197"/>
      <c r="J91" s="248"/>
      <c r="K91" s="244"/>
      <c r="L91" s="197" t="s">
        <v>24</v>
      </c>
    </row>
    <row r="92">
      <c r="A92" s="32"/>
      <c r="B92" s="32"/>
      <c r="C92" s="123" t="s">
        <v>249</v>
      </c>
      <c r="D92" s="10"/>
      <c r="E92" s="10"/>
      <c r="F92" s="213" t="s">
        <v>250</v>
      </c>
      <c r="G92" s="248"/>
      <c r="H92" s="197" t="s">
        <v>24</v>
      </c>
      <c r="I92" s="197"/>
      <c r="J92" s="248"/>
      <c r="K92" s="260"/>
      <c r="L92" s="197" t="s">
        <v>24</v>
      </c>
    </row>
    <row r="93">
      <c r="A93" s="32"/>
      <c r="B93" s="32"/>
      <c r="C93" s="103" t="s">
        <v>251</v>
      </c>
      <c r="D93" s="10"/>
      <c r="E93" s="10"/>
      <c r="F93" s="213" t="s">
        <v>252</v>
      </c>
      <c r="G93" s="244"/>
      <c r="H93" s="197" t="s">
        <v>24</v>
      </c>
      <c r="I93" s="197"/>
      <c r="J93" s="244"/>
      <c r="K93" s="244"/>
      <c r="L93" s="197" t="s">
        <v>24</v>
      </c>
    </row>
    <row r="94">
      <c r="A94" s="32"/>
      <c r="B94" s="32"/>
      <c r="C94" s="106" t="s">
        <v>253</v>
      </c>
      <c r="D94" s="10"/>
      <c r="E94" s="10"/>
      <c r="F94" s="213" t="s">
        <v>254</v>
      </c>
      <c r="G94" s="244"/>
      <c r="H94" s="197" t="s">
        <v>24</v>
      </c>
      <c r="I94" s="197"/>
      <c r="J94" s="244"/>
      <c r="K94" s="244"/>
      <c r="L94" s="197" t="s">
        <v>24</v>
      </c>
    </row>
    <row r="95">
      <c r="A95" s="32"/>
      <c r="B95" s="32"/>
      <c r="C95" s="106" t="s">
        <v>255</v>
      </c>
      <c r="D95" s="10"/>
      <c r="E95" s="10"/>
      <c r="F95" s="213" t="s">
        <v>256</v>
      </c>
      <c r="G95" s="244"/>
      <c r="H95" s="197" t="s">
        <v>24</v>
      </c>
      <c r="I95" s="197"/>
      <c r="J95" s="244"/>
      <c r="K95" s="258"/>
      <c r="L95" s="197" t="s">
        <v>24</v>
      </c>
    </row>
    <row r="96">
      <c r="A96" s="32"/>
      <c r="B96" s="32"/>
      <c r="C96" s="93" t="s">
        <v>257</v>
      </c>
      <c r="D96" s="10"/>
      <c r="E96" s="10"/>
      <c r="F96" s="17"/>
      <c r="G96" s="248"/>
      <c r="H96" s="197" t="s">
        <v>24</v>
      </c>
      <c r="I96" s="197"/>
      <c r="J96" s="248"/>
      <c r="K96" s="244"/>
      <c r="L96" s="197" t="s">
        <v>24</v>
      </c>
    </row>
    <row r="97">
      <c r="A97" s="32"/>
      <c r="B97" s="32"/>
      <c r="C97" s="93" t="s">
        <v>258</v>
      </c>
      <c r="D97" s="10"/>
      <c r="E97" s="10"/>
      <c r="F97" s="213" t="s">
        <v>259</v>
      </c>
      <c r="G97" s="248"/>
      <c r="H97" s="197" t="s">
        <v>24</v>
      </c>
      <c r="I97" s="197"/>
      <c r="J97" s="248"/>
      <c r="K97" s="244"/>
      <c r="L97" s="197" t="s">
        <v>24</v>
      </c>
    </row>
    <row r="98">
      <c r="A98" s="32"/>
      <c r="B98" s="32"/>
      <c r="C98" s="238" t="s">
        <v>260</v>
      </c>
      <c r="D98" s="10"/>
      <c r="E98" s="10"/>
      <c r="F98" s="17"/>
      <c r="G98" s="244"/>
      <c r="H98" s="197" t="s">
        <v>24</v>
      </c>
      <c r="I98" s="197"/>
      <c r="J98" s="244"/>
      <c r="K98" s="244"/>
      <c r="L98" s="197" t="s">
        <v>24</v>
      </c>
    </row>
    <row r="99">
      <c r="A99" s="32"/>
      <c r="B99" s="37"/>
      <c r="C99" s="238" t="s">
        <v>263</v>
      </c>
      <c r="D99" s="10"/>
      <c r="E99" s="10"/>
      <c r="F99" s="17"/>
      <c r="G99" s="248"/>
      <c r="H99" s="197" t="s">
        <v>24</v>
      </c>
      <c r="I99" s="197"/>
      <c r="J99" s="248"/>
      <c r="K99" s="244"/>
      <c r="L99" s="197" t="s">
        <v>24</v>
      </c>
    </row>
    <row r="100">
      <c r="A100" s="32"/>
      <c r="B100" s="141" t="s">
        <v>264</v>
      </c>
      <c r="C100" s="142" t="s">
        <v>265</v>
      </c>
      <c r="E100" s="245" t="s">
        <v>266</v>
      </c>
      <c r="F100" s="240"/>
      <c r="G100" s="248"/>
      <c r="H100" s="197" t="s">
        <v>24</v>
      </c>
      <c r="I100" s="197"/>
      <c r="J100" s="248"/>
      <c r="K100" s="260"/>
      <c r="L100" s="197" t="s">
        <v>24</v>
      </c>
    </row>
    <row r="101">
      <c r="A101" s="37"/>
      <c r="B101" s="37"/>
      <c r="C101" s="148" t="s">
        <v>274</v>
      </c>
      <c r="D101" s="10"/>
      <c r="F101" s="241" t="s">
        <v>275</v>
      </c>
      <c r="G101" s="248"/>
      <c r="H101" s="197" t="s">
        <v>24</v>
      </c>
      <c r="I101" s="197"/>
      <c r="J101" s="248"/>
      <c r="K101" s="244"/>
      <c r="L101" s="197" t="s">
        <v>24</v>
      </c>
    </row>
    <row r="102">
      <c r="A102" s="154"/>
      <c r="B102" s="154">
        <v>102.0</v>
      </c>
      <c r="C102" s="154" t="s">
        <v>398</v>
      </c>
      <c r="D102" s="154"/>
      <c r="E102" s="154"/>
      <c r="F102" s="142" t="s">
        <v>276</v>
      </c>
      <c r="G102" s="200">
        <v>0.0</v>
      </c>
      <c r="H102" s="200">
        <v>100.0</v>
      </c>
      <c r="I102" s="200">
        <v>0.0</v>
      </c>
      <c r="J102" s="200">
        <v>0.0</v>
      </c>
      <c r="K102" s="200">
        <v>0.0</v>
      </c>
      <c r="L102" s="200">
        <v>100.0</v>
      </c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>
      <c r="A107" s="79" t="s">
        <v>399</v>
      </c>
      <c r="B107" s="152"/>
      <c r="C107" s="152"/>
      <c r="D107" s="153"/>
      <c r="E107" s="10"/>
      <c r="F107" s="10"/>
      <c r="G107" s="10"/>
      <c r="H107" s="10"/>
      <c r="I107" s="10"/>
      <c r="J107" s="10"/>
      <c r="K107" s="10"/>
      <c r="L107" s="10"/>
    </row>
    <row r="108">
      <c r="A108" s="154"/>
      <c r="B108" s="155" t="s">
        <v>5</v>
      </c>
      <c r="C108" s="155" t="s">
        <v>277</v>
      </c>
      <c r="D108" s="155" t="s">
        <v>7</v>
      </c>
      <c r="E108" s="10"/>
      <c r="F108" s="10"/>
      <c r="G108" s="10"/>
      <c r="H108" s="10"/>
      <c r="I108" s="10"/>
      <c r="J108" s="10"/>
      <c r="K108" s="10"/>
      <c r="L108" s="10"/>
    </row>
    <row r="109">
      <c r="A109" s="155" t="s">
        <v>278</v>
      </c>
      <c r="B109" s="154">
        <v>0.0</v>
      </c>
      <c r="C109" s="154">
        <v>83.0</v>
      </c>
      <c r="D109" s="154">
        <v>0.0</v>
      </c>
      <c r="E109" s="10"/>
      <c r="F109" s="10"/>
      <c r="G109" s="10"/>
      <c r="H109" s="10"/>
      <c r="I109" s="10"/>
      <c r="J109" s="10"/>
      <c r="K109" s="10"/>
      <c r="L109" s="10"/>
    </row>
    <row r="110">
      <c r="A110" s="155" t="s">
        <v>279</v>
      </c>
      <c r="B110" s="154">
        <v>0.0</v>
      </c>
      <c r="C110" s="154">
        <v>7.0</v>
      </c>
      <c r="D110" s="154">
        <v>0.0</v>
      </c>
      <c r="E110" s="10"/>
      <c r="F110" s="10"/>
      <c r="G110" s="10"/>
      <c r="H110" s="10"/>
      <c r="I110" s="10"/>
      <c r="J110" s="10"/>
      <c r="K110" s="10"/>
      <c r="L110" s="10"/>
    </row>
    <row r="111">
      <c r="A111" s="155" t="s">
        <v>280</v>
      </c>
      <c r="B111" s="154">
        <v>0.0</v>
      </c>
      <c r="C111" s="154">
        <v>0.0</v>
      </c>
      <c r="D111" s="154">
        <v>0.0</v>
      </c>
      <c r="E111" s="10"/>
      <c r="F111" s="10"/>
      <c r="G111" s="10"/>
      <c r="H111" s="10"/>
      <c r="I111" s="10"/>
      <c r="J111" s="10"/>
      <c r="K111" s="10"/>
      <c r="L111" s="10"/>
    </row>
    <row r="112">
      <c r="A112" s="155" t="s">
        <v>281</v>
      </c>
      <c r="B112" s="154">
        <v>0.0</v>
      </c>
      <c r="C112" s="154">
        <v>0.0</v>
      </c>
      <c r="D112" s="154">
        <v>0.0</v>
      </c>
      <c r="E112" s="10"/>
      <c r="F112" s="10"/>
      <c r="G112" s="10"/>
      <c r="H112" s="10"/>
      <c r="I112" s="10"/>
      <c r="J112" s="10"/>
      <c r="K112" s="10"/>
      <c r="L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>
      <c r="A115" s="156" t="s">
        <v>282</v>
      </c>
      <c r="F115" s="10"/>
      <c r="G115" s="10"/>
      <c r="H115" s="10"/>
      <c r="I115" s="10"/>
      <c r="J115" s="10"/>
      <c r="K115" s="10"/>
      <c r="L115" s="10"/>
    </row>
    <row r="116">
      <c r="A116" s="157" t="s">
        <v>8</v>
      </c>
      <c r="B116" s="158"/>
      <c r="C116" s="158"/>
      <c r="D116" s="158"/>
      <c r="E116" s="157" t="s">
        <v>283</v>
      </c>
      <c r="F116" s="10"/>
      <c r="G116" s="10"/>
      <c r="H116" s="10"/>
      <c r="I116" s="10"/>
      <c r="J116" s="10"/>
      <c r="K116" s="10"/>
      <c r="L116" s="10"/>
    </row>
    <row r="117">
      <c r="A117" s="159" t="s">
        <v>284</v>
      </c>
      <c r="B117" s="158"/>
      <c r="C117" s="158"/>
      <c r="D117" s="158"/>
      <c r="E117" s="160" t="s">
        <v>24</v>
      </c>
      <c r="F117" s="10"/>
      <c r="G117" s="10"/>
      <c r="H117" s="10"/>
      <c r="I117" s="10"/>
      <c r="J117" s="10"/>
      <c r="K117" s="10"/>
      <c r="L117" s="10"/>
    </row>
    <row r="118">
      <c r="A118" s="161" t="s">
        <v>285</v>
      </c>
      <c r="B118" s="158"/>
      <c r="C118" s="158"/>
      <c r="D118" s="158"/>
      <c r="E118" s="162" t="s">
        <v>12</v>
      </c>
      <c r="F118" s="10"/>
      <c r="G118" s="10"/>
      <c r="H118" s="10"/>
      <c r="I118" s="10"/>
      <c r="J118" s="10"/>
      <c r="K118" s="10"/>
      <c r="L118" s="10"/>
    </row>
    <row r="119">
      <c r="A119" s="163" t="s">
        <v>286</v>
      </c>
      <c r="B119" s="158"/>
      <c r="C119" s="158"/>
      <c r="D119" s="158"/>
      <c r="E119" s="164" t="s">
        <v>287</v>
      </c>
      <c r="F119" s="10"/>
      <c r="G119" s="10"/>
      <c r="H119" s="10"/>
      <c r="I119" s="10"/>
      <c r="J119" s="10"/>
      <c r="K119" s="10"/>
      <c r="L119" s="10"/>
    </row>
    <row r="120">
      <c r="A120" s="165" t="s">
        <v>288</v>
      </c>
      <c r="B120" s="158"/>
      <c r="C120" s="158"/>
      <c r="D120" s="158"/>
      <c r="E120" s="166" t="s">
        <v>10</v>
      </c>
      <c r="F120" s="10"/>
      <c r="G120" s="10"/>
      <c r="H120" s="10"/>
      <c r="I120" s="10"/>
      <c r="J120" s="10"/>
      <c r="K120" s="10"/>
      <c r="L120" s="10"/>
    </row>
    <row r="121">
      <c r="A121" s="167" t="s">
        <v>289</v>
      </c>
      <c r="B121" s="158"/>
      <c r="C121" s="158"/>
      <c r="D121" s="158"/>
      <c r="E121" s="168" t="s">
        <v>290</v>
      </c>
      <c r="F121" s="10"/>
      <c r="G121" s="10"/>
      <c r="H121" s="10"/>
      <c r="I121" s="10"/>
      <c r="J121" s="10"/>
      <c r="K121" s="10"/>
      <c r="L121" s="10"/>
    </row>
    <row r="122">
      <c r="A122" s="169" t="s">
        <v>291</v>
      </c>
      <c r="B122" s="158"/>
      <c r="C122" s="158"/>
      <c r="D122" s="158"/>
      <c r="E122" s="170" t="s">
        <v>292</v>
      </c>
      <c r="F122" s="10"/>
      <c r="G122" s="10"/>
      <c r="H122" s="10"/>
      <c r="I122" s="10"/>
      <c r="J122" s="10"/>
      <c r="K122" s="10"/>
      <c r="L122" s="10"/>
    </row>
    <row r="123">
      <c r="A123" s="171" t="s">
        <v>293</v>
      </c>
      <c r="B123" s="158"/>
      <c r="C123" s="158"/>
      <c r="D123" s="158"/>
      <c r="E123" s="172" t="s">
        <v>294</v>
      </c>
      <c r="F123" s="10"/>
      <c r="G123" s="10"/>
      <c r="H123" s="10"/>
      <c r="I123" s="10"/>
      <c r="J123" s="10"/>
      <c r="K123" s="10"/>
      <c r="L123" s="10"/>
    </row>
    <row r="124">
      <c r="A124" s="173" t="s">
        <v>295</v>
      </c>
      <c r="B124" s="158"/>
      <c r="C124" s="158"/>
      <c r="D124" s="158"/>
      <c r="E124" s="174" t="s">
        <v>11</v>
      </c>
      <c r="F124" s="10"/>
      <c r="G124" s="10"/>
      <c r="H124" s="10"/>
      <c r="I124" s="10"/>
      <c r="J124" s="10"/>
      <c r="K124" s="10"/>
      <c r="L124" s="10"/>
    </row>
    <row r="125">
      <c r="A125" s="175" t="s">
        <v>296</v>
      </c>
      <c r="B125" s="158"/>
      <c r="C125" s="158"/>
      <c r="D125" s="158"/>
      <c r="E125" s="176" t="s">
        <v>12</v>
      </c>
      <c r="F125" s="10"/>
      <c r="G125" s="10"/>
      <c r="H125" s="10"/>
      <c r="I125" s="10"/>
      <c r="J125" s="10"/>
      <c r="K125" s="10"/>
      <c r="L125" s="10"/>
    </row>
    <row r="126">
      <c r="A126" s="177" t="s">
        <v>297</v>
      </c>
      <c r="B126" s="158"/>
      <c r="C126" s="158"/>
      <c r="D126" s="158"/>
      <c r="E126" s="158"/>
      <c r="F126" s="10"/>
      <c r="G126" s="10"/>
      <c r="H126" s="10"/>
      <c r="I126" s="10"/>
      <c r="J126" s="10"/>
      <c r="K126" s="10"/>
      <c r="L126" s="10"/>
    </row>
    <row r="127">
      <c r="A127" s="178" t="s">
        <v>298</v>
      </c>
      <c r="B127" s="158"/>
      <c r="C127" s="158"/>
      <c r="D127" s="158"/>
      <c r="E127" s="158"/>
      <c r="F127" s="10"/>
      <c r="G127" s="10"/>
      <c r="H127" s="10"/>
      <c r="I127" s="10"/>
      <c r="J127" s="10"/>
      <c r="K127" s="10"/>
      <c r="L127" s="10"/>
    </row>
    <row r="128">
      <c r="A128" s="179" t="s">
        <v>299</v>
      </c>
      <c r="B128" s="158"/>
      <c r="C128" s="158"/>
      <c r="D128" s="158"/>
      <c r="E128" s="158"/>
      <c r="F128" s="10"/>
      <c r="G128" s="10"/>
      <c r="H128" s="10"/>
      <c r="I128" s="10"/>
      <c r="J128" s="10"/>
      <c r="K128" s="10"/>
      <c r="L128" s="10"/>
    </row>
    <row r="129">
      <c r="A129" s="180" t="s">
        <v>300</v>
      </c>
      <c r="B129" s="158"/>
      <c r="C129" s="158"/>
      <c r="D129" s="158"/>
      <c r="E129" s="158"/>
      <c r="F129" s="10"/>
      <c r="G129" s="10"/>
      <c r="H129" s="10"/>
      <c r="I129" s="10"/>
      <c r="J129" s="10"/>
      <c r="K129" s="10"/>
      <c r="L129" s="10"/>
    </row>
    <row r="130">
      <c r="A130" s="181" t="s">
        <v>301</v>
      </c>
      <c r="B130" s="158"/>
      <c r="C130" s="158"/>
      <c r="D130" s="158"/>
      <c r="E130" s="158"/>
      <c r="F130" s="10"/>
      <c r="G130" s="10"/>
      <c r="H130" s="10"/>
      <c r="I130" s="10"/>
      <c r="J130" s="10"/>
      <c r="K130" s="10"/>
      <c r="L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</sheetData>
  <mergeCells count="16">
    <mergeCell ref="B42:B56"/>
    <mergeCell ref="B57:B60"/>
    <mergeCell ref="B61:B80"/>
    <mergeCell ref="B81:B85"/>
    <mergeCell ref="B86:B89"/>
    <mergeCell ref="B90:B99"/>
    <mergeCell ref="B100:B101"/>
    <mergeCell ref="A107:D107"/>
    <mergeCell ref="A115:E115"/>
    <mergeCell ref="G1:I1"/>
    <mergeCell ref="J1:L1"/>
    <mergeCell ref="A6:A24"/>
    <mergeCell ref="B6:B21"/>
    <mergeCell ref="B22:B24"/>
    <mergeCell ref="A25:A101"/>
    <mergeCell ref="B25:B41"/>
  </mergeCells>
  <conditionalFormatting sqref="B3:D3 G4:L4">
    <cfRule type="cellIs" dxfId="14" priority="1" stopIfTrue="1" operator="equal">
      <formula>"Anu"</formula>
    </cfRule>
  </conditionalFormatting>
  <conditionalFormatting sqref="B3:D3 G4:L4">
    <cfRule type="cellIs" dxfId="0" priority="2" stopIfTrue="1" operator="equal">
      <formula>"Amrita"</formula>
    </cfRule>
  </conditionalFormatting>
  <conditionalFormatting sqref="B3:D3 G4:L4">
    <cfRule type="cellIs" dxfId="1" priority="3" stopIfTrue="1" operator="equal">
      <formula>"Soumya"</formula>
    </cfRule>
  </conditionalFormatting>
  <conditionalFormatting sqref="B3:D3 G4:L4">
    <cfRule type="cellIs" dxfId="2" priority="4" stopIfTrue="1" operator="equal">
      <formula>"Hannah"</formula>
    </cfRule>
  </conditionalFormatting>
  <conditionalFormatting sqref="B3:D3 G4:L4">
    <cfRule type="cellIs" dxfId="4" priority="5" stopIfTrue="1" operator="equal">
      <formula>"Nitin"</formula>
    </cfRule>
  </conditionalFormatting>
  <conditionalFormatting sqref="B3:D3 G4:L4">
    <cfRule type="cellIs" dxfId="15" priority="6" stopIfTrue="1" operator="equal">
      <formula>"Pankhuri"</formula>
    </cfRule>
  </conditionalFormatting>
  <conditionalFormatting sqref="B3:D3 G4:L4">
    <cfRule type="cellIs" dxfId="5" priority="7" stopIfTrue="1" operator="equal">
      <formula>"Ramakrishna"</formula>
    </cfRule>
  </conditionalFormatting>
  <conditionalFormatting sqref="B3:D3 G4:L4">
    <cfRule type="cellIs" dxfId="6" priority="8" stopIfTrue="1" operator="equal">
      <formula>"Abdul"</formula>
    </cfRule>
  </conditionalFormatting>
  <conditionalFormatting sqref="B3:D3 G4:L4">
    <cfRule type="cellIs" dxfId="7" priority="9" stopIfTrue="1" operator="equal">
      <formula>"Saheli"</formula>
    </cfRule>
  </conditionalFormatting>
  <conditionalFormatting sqref="B3:D3 G4:L4">
    <cfRule type="cellIs" dxfId="8" priority="10" stopIfTrue="1" operator="equal">
      <formula>"Matt"</formula>
    </cfRule>
  </conditionalFormatting>
  <conditionalFormatting sqref="B3:D3 G4:L4">
    <cfRule type="cellIs" dxfId="9" priority="11" stopIfTrue="1" operator="equal">
      <formula>"Vishnu"</formula>
    </cfRule>
  </conditionalFormatting>
  <conditionalFormatting sqref="B3:D3 G4:L4">
    <cfRule type="cellIs" dxfId="10" priority="12" stopIfTrue="1" operator="equal">
      <formula>"Ivy"</formula>
    </cfRule>
  </conditionalFormatting>
  <conditionalFormatting sqref="B3:D3 G4:L4">
    <cfRule type="cellIs" dxfId="11" priority="13" stopIfTrue="1" operator="equal">
      <formula>"Rupal"</formula>
    </cfRule>
  </conditionalFormatting>
  <conditionalFormatting sqref="B3:D3 G4:L4">
    <cfRule type="cellIs" dxfId="25" priority="14" stopIfTrue="1" operator="equal">
      <formula>"Utkarsh"</formula>
    </cfRule>
  </conditionalFormatting>
  <conditionalFormatting sqref="B3:D3 G4:L4 G6:L101">
    <cfRule type="cellIs" dxfId="18" priority="15" stopIfTrue="1" operator="equal">
      <formula>"Not Tested"</formula>
    </cfRule>
  </conditionalFormatting>
  <conditionalFormatting sqref="G6:L101">
    <cfRule type="cellIs" dxfId="19" priority="16" stopIfTrue="1" operator="equal">
      <formula>"N/A"</formula>
    </cfRule>
  </conditionalFormatting>
  <conditionalFormatting sqref="B2:D2 G3:L3">
    <cfRule type="containsText" dxfId="20" priority="17" stopIfTrue="1" operator="containsText" text="Incomplete">
      <formula>NOT(ISERROR(SEARCH(("Incomplete"),(B2))))</formula>
    </cfRule>
  </conditionalFormatting>
  <conditionalFormatting sqref="B2:D2 G3:L3">
    <cfRule type="containsText" dxfId="17" priority="18" stopIfTrue="1" operator="containsText" text="Broken">
      <formula>NOT(ISERROR(SEARCH(("Broken"),(B2))))</formula>
    </cfRule>
  </conditionalFormatting>
  <conditionalFormatting sqref="B2:D2 G3:L3">
    <cfRule type="containsText" dxfId="21" priority="19" stopIfTrue="1" operator="containsText" text="Some problems">
      <formula>NOT(ISERROR(SEARCH(("Some problems"),(B2))))</formula>
    </cfRule>
  </conditionalFormatting>
  <conditionalFormatting sqref="B2:D2 G3:L3">
    <cfRule type="containsText" dxfId="22" priority="20" stopIfTrue="1" operator="containsText" text="All OK">
      <formula>NOT(ISERROR(SEARCH(("All OK"),(B2))))</formula>
    </cfRule>
  </conditionalFormatting>
  <conditionalFormatting sqref="B2:D2 G3:L3">
    <cfRule type="containsText" dxfId="23" priority="21" stopIfTrue="1" operator="containsText" text="In Progress">
      <formula>NOT(ISERROR(SEARCH(("In Progress"),(B2))))</formula>
    </cfRule>
  </conditionalFormatting>
  <conditionalFormatting sqref="B2:D2 G3:L3">
    <cfRule type="containsText" dxfId="24" priority="22" stopIfTrue="1" operator="containsText" text="Not Tested">
      <formula>NOT(ISERROR(SEARCH(("Not Tested"),(B2))))</formula>
    </cfRule>
  </conditionalFormatting>
  <conditionalFormatting sqref="G6:L101">
    <cfRule type="cellIs" dxfId="16" priority="23" operator="equal">
      <formula>"OK"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400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400</v>
      </c>
      <c r="H1" s="6"/>
      <c r="I1" s="7"/>
      <c r="J1" s="5" t="s">
        <v>401</v>
      </c>
      <c r="K1" s="6"/>
      <c r="L1" s="7"/>
      <c r="M1" s="5" t="s">
        <v>402</v>
      </c>
      <c r="N1" s="6"/>
      <c r="O1" s="7"/>
    </row>
    <row r="2">
      <c r="A2" s="8"/>
      <c r="B2" s="9" t="s">
        <v>382</v>
      </c>
      <c r="C2" s="9" t="s">
        <v>10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</row>
    <row r="3">
      <c r="A3" s="13" t="s">
        <v>8</v>
      </c>
      <c r="B3" s="9" t="s">
        <v>301</v>
      </c>
      <c r="C3" s="9" t="s">
        <v>12</v>
      </c>
      <c r="D3" s="9" t="s">
        <v>12</v>
      </c>
      <c r="E3" s="10"/>
      <c r="F3" s="14" t="s">
        <v>9</v>
      </c>
      <c r="G3" s="15" t="s">
        <v>292</v>
      </c>
      <c r="H3" s="15" t="s">
        <v>10</v>
      </c>
      <c r="I3" s="15" t="s">
        <v>10</v>
      </c>
      <c r="J3" s="15" t="s">
        <v>10</v>
      </c>
      <c r="K3" s="15" t="s">
        <v>11</v>
      </c>
      <c r="L3" s="15" t="s">
        <v>10</v>
      </c>
      <c r="M3" s="15" t="s">
        <v>10</v>
      </c>
      <c r="N3" s="15" t="s">
        <v>10</v>
      </c>
      <c r="O3" s="15" t="s">
        <v>292</v>
      </c>
    </row>
    <row r="4">
      <c r="A4" s="16"/>
      <c r="B4" s="10"/>
      <c r="C4" s="10"/>
      <c r="D4" s="10"/>
      <c r="E4" s="10"/>
      <c r="F4" s="17"/>
      <c r="G4" s="15" t="s">
        <v>301</v>
      </c>
      <c r="H4" s="15" t="s">
        <v>12</v>
      </c>
      <c r="I4" s="15" t="s">
        <v>12</v>
      </c>
      <c r="J4" s="15" t="s">
        <v>12</v>
      </c>
      <c r="K4" s="15" t="s">
        <v>298</v>
      </c>
      <c r="L4" s="15" t="s">
        <v>12</v>
      </c>
      <c r="M4" s="15" t="s">
        <v>12</v>
      </c>
      <c r="N4" s="15" t="s">
        <v>12</v>
      </c>
      <c r="O4" s="15" t="s">
        <v>301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  <c r="M5" s="21"/>
      <c r="N5" s="21"/>
      <c r="O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44" t="s">
        <v>394</v>
      </c>
      <c r="H6" s="258"/>
      <c r="I6" s="42"/>
      <c r="J6" s="244"/>
      <c r="K6" s="266" t="s">
        <v>394</v>
      </c>
      <c r="L6" s="42"/>
      <c r="M6" s="244"/>
      <c r="N6" s="260"/>
      <c r="O6" s="267" t="s">
        <v>394</v>
      </c>
    </row>
    <row r="7">
      <c r="A7" s="32"/>
      <c r="B7" s="32"/>
      <c r="C7" s="142" t="s">
        <v>344</v>
      </c>
      <c r="D7" s="10"/>
      <c r="E7" s="245" t="s">
        <v>96</v>
      </c>
      <c r="F7" s="17"/>
      <c r="G7" s="246" t="s">
        <v>403</v>
      </c>
      <c r="H7" s="258"/>
      <c r="I7" s="254"/>
      <c r="J7" s="246"/>
      <c r="K7" s="258" t="s">
        <v>403</v>
      </c>
      <c r="L7" s="254"/>
      <c r="M7" s="246"/>
      <c r="N7" s="259"/>
      <c r="O7" s="268" t="s">
        <v>403</v>
      </c>
    </row>
    <row r="8">
      <c r="A8" s="32"/>
      <c r="B8" s="32"/>
      <c r="C8" s="91" t="s">
        <v>345</v>
      </c>
      <c r="D8" s="10"/>
      <c r="E8" s="247" t="s">
        <v>383</v>
      </c>
      <c r="F8" s="17"/>
      <c r="G8" s="248" t="s">
        <v>24</v>
      </c>
      <c r="H8" s="259"/>
      <c r="I8" s="254"/>
      <c r="J8" s="248"/>
      <c r="K8" s="259"/>
      <c r="L8" s="254"/>
      <c r="M8" s="248"/>
      <c r="N8" s="259"/>
      <c r="O8" s="255" t="s">
        <v>24</v>
      </c>
    </row>
    <row r="9">
      <c r="A9" s="32"/>
      <c r="B9" s="32"/>
      <c r="C9" s="91" t="s">
        <v>347</v>
      </c>
      <c r="D9" s="10"/>
      <c r="E9" s="249" t="s">
        <v>308</v>
      </c>
      <c r="F9" s="17"/>
      <c r="G9" s="244" t="s">
        <v>24</v>
      </c>
      <c r="H9" s="260"/>
      <c r="I9" s="254"/>
      <c r="J9" s="244"/>
      <c r="K9" s="260"/>
      <c r="L9" s="254"/>
      <c r="M9" s="244"/>
      <c r="N9" s="260"/>
      <c r="O9" s="255" t="s">
        <v>24</v>
      </c>
    </row>
    <row r="10">
      <c r="A10" s="32"/>
      <c r="B10" s="32"/>
      <c r="C10" s="87" t="s">
        <v>348</v>
      </c>
      <c r="D10" s="10"/>
      <c r="E10" s="245" t="s">
        <v>77</v>
      </c>
      <c r="F10" s="17"/>
      <c r="G10" s="248" t="s">
        <v>24</v>
      </c>
      <c r="H10" s="260"/>
      <c r="I10" s="254"/>
      <c r="J10" s="248"/>
      <c r="K10" s="260"/>
      <c r="L10" s="254"/>
      <c r="M10" s="248"/>
      <c r="N10" s="260"/>
      <c r="O10" s="255" t="s">
        <v>24</v>
      </c>
    </row>
    <row r="11">
      <c r="A11" s="32"/>
      <c r="B11" s="32"/>
      <c r="C11" s="87" t="s">
        <v>349</v>
      </c>
      <c r="D11" s="10"/>
      <c r="E11" s="245" t="s">
        <v>100</v>
      </c>
      <c r="F11" s="17"/>
      <c r="G11" s="246" t="s">
        <v>101</v>
      </c>
      <c r="H11" s="258"/>
      <c r="I11" s="254"/>
      <c r="J11" s="246"/>
      <c r="K11" s="258" t="s">
        <v>101</v>
      </c>
      <c r="L11" s="254"/>
      <c r="M11" s="246"/>
      <c r="N11" s="260"/>
      <c r="O11" s="254" t="s">
        <v>101</v>
      </c>
    </row>
    <row r="12">
      <c r="A12" s="32"/>
      <c r="B12" s="32"/>
      <c r="C12" s="87" t="s">
        <v>350</v>
      </c>
      <c r="D12" s="10"/>
      <c r="E12" s="10"/>
      <c r="F12" s="212" t="s">
        <v>351</v>
      </c>
      <c r="G12" s="246" t="s">
        <v>395</v>
      </c>
      <c r="H12" s="258"/>
      <c r="I12" s="254"/>
      <c r="J12" s="246"/>
      <c r="K12" s="258" t="s">
        <v>395</v>
      </c>
      <c r="L12" s="254"/>
      <c r="M12" s="246"/>
      <c r="N12" s="260"/>
      <c r="O12" s="268" t="s">
        <v>395</v>
      </c>
    </row>
    <row r="13">
      <c r="A13" s="32"/>
      <c r="B13" s="32"/>
      <c r="C13" s="87" t="s">
        <v>352</v>
      </c>
      <c r="D13" s="10"/>
      <c r="E13" s="10"/>
      <c r="F13" s="213"/>
      <c r="G13" s="269" t="s">
        <v>404</v>
      </c>
      <c r="H13" s="258"/>
      <c r="I13" s="254"/>
      <c r="J13" s="246"/>
      <c r="K13" s="258" t="s">
        <v>404</v>
      </c>
      <c r="L13" s="254"/>
      <c r="M13" s="246"/>
      <c r="N13" s="260"/>
      <c r="O13" s="268" t="s">
        <v>404</v>
      </c>
    </row>
    <row r="14">
      <c r="A14" s="32"/>
      <c r="B14" s="32"/>
      <c r="C14" s="87" t="s">
        <v>353</v>
      </c>
      <c r="D14" s="10"/>
      <c r="E14" s="10"/>
      <c r="F14" s="213"/>
      <c r="G14" s="246" t="s">
        <v>405</v>
      </c>
      <c r="H14" s="258"/>
      <c r="I14" s="254"/>
      <c r="J14" s="246"/>
      <c r="K14" s="258"/>
      <c r="L14" s="254"/>
      <c r="M14" s="246"/>
      <c r="N14" s="260"/>
      <c r="O14" s="270"/>
    </row>
    <row r="15">
      <c r="A15" s="32"/>
      <c r="B15" s="32"/>
      <c r="C15" s="77" t="s">
        <v>354</v>
      </c>
      <c r="D15" s="10"/>
      <c r="E15" s="10"/>
      <c r="F15" s="213" t="s">
        <v>83</v>
      </c>
      <c r="G15" s="248" t="s">
        <v>24</v>
      </c>
      <c r="H15" s="260"/>
      <c r="I15" s="254"/>
      <c r="J15" s="248"/>
      <c r="K15" s="260"/>
      <c r="L15" s="254"/>
      <c r="M15" s="248"/>
      <c r="N15" s="260"/>
      <c r="O15" s="255" t="s">
        <v>24</v>
      </c>
    </row>
    <row r="16">
      <c r="A16" s="32"/>
      <c r="B16" s="32"/>
      <c r="C16" s="214" t="s">
        <v>355</v>
      </c>
      <c r="D16" s="10"/>
      <c r="E16" s="245" t="s">
        <v>34</v>
      </c>
      <c r="F16" s="17"/>
      <c r="G16" s="244" t="s">
        <v>24</v>
      </c>
      <c r="H16" s="258"/>
      <c r="I16" s="254"/>
      <c r="J16" s="244"/>
      <c r="K16" s="258" t="s">
        <v>406</v>
      </c>
      <c r="L16" s="254"/>
      <c r="M16" s="244"/>
      <c r="N16" s="259"/>
      <c r="O16" s="268" t="s">
        <v>406</v>
      </c>
    </row>
    <row r="17">
      <c r="A17" s="32"/>
      <c r="B17" s="32"/>
      <c r="C17" s="77" t="s">
        <v>357</v>
      </c>
      <c r="D17" s="10"/>
      <c r="E17" s="245" t="s">
        <v>34</v>
      </c>
      <c r="F17" s="17"/>
      <c r="G17" s="248" t="s">
        <v>24</v>
      </c>
      <c r="H17" s="260"/>
      <c r="I17" s="254"/>
      <c r="J17" s="248"/>
      <c r="K17" s="260"/>
      <c r="L17" s="254"/>
      <c r="M17" s="248"/>
      <c r="N17" s="260"/>
      <c r="O17" s="255" t="s">
        <v>24</v>
      </c>
    </row>
    <row r="18">
      <c r="A18" s="32"/>
      <c r="B18" s="32"/>
      <c r="C18" s="87" t="s">
        <v>358</v>
      </c>
      <c r="D18" s="10"/>
      <c r="E18" s="245"/>
      <c r="F18" s="212" t="s">
        <v>38</v>
      </c>
      <c r="G18" s="251" t="s">
        <v>24</v>
      </c>
      <c r="H18" s="261"/>
      <c r="I18" s="254"/>
      <c r="J18" s="251"/>
      <c r="K18" s="261"/>
      <c r="L18" s="254"/>
      <c r="M18" s="251"/>
      <c r="N18" s="261"/>
      <c r="O18" s="255" t="s">
        <v>24</v>
      </c>
    </row>
    <row r="19">
      <c r="A19" s="32"/>
      <c r="B19" s="32"/>
      <c r="C19" s="129" t="s">
        <v>359</v>
      </c>
      <c r="D19" s="10"/>
      <c r="E19" s="245"/>
      <c r="F19" s="212" t="s">
        <v>38</v>
      </c>
      <c r="G19" s="251" t="s">
        <v>24</v>
      </c>
      <c r="H19" s="261"/>
      <c r="I19" s="254"/>
      <c r="J19" s="251"/>
      <c r="K19" s="261"/>
      <c r="L19" s="254"/>
      <c r="M19" s="251"/>
      <c r="N19" s="261"/>
      <c r="O19" s="255" t="s">
        <v>24</v>
      </c>
    </row>
    <row r="20">
      <c r="A20" s="32"/>
      <c r="B20" s="32"/>
      <c r="C20" s="87" t="s">
        <v>360</v>
      </c>
      <c r="D20" s="10"/>
      <c r="E20" s="245"/>
      <c r="F20" s="212" t="s">
        <v>38</v>
      </c>
      <c r="G20" s="251" t="s">
        <v>407</v>
      </c>
      <c r="H20" s="261"/>
      <c r="I20" s="254"/>
      <c r="J20" s="251"/>
      <c r="K20" s="261" t="s">
        <v>407</v>
      </c>
      <c r="L20" s="254"/>
      <c r="M20" s="251"/>
      <c r="N20" s="261"/>
      <c r="O20" s="268" t="s">
        <v>407</v>
      </c>
    </row>
    <row r="21">
      <c r="A21" s="32"/>
      <c r="B21" s="37"/>
      <c r="C21" s="77" t="s">
        <v>396</v>
      </c>
      <c r="D21" s="10"/>
      <c r="E21" s="245" t="s">
        <v>100</v>
      </c>
      <c r="F21" s="213" t="s">
        <v>103</v>
      </c>
      <c r="G21" s="251" t="s">
        <v>385</v>
      </c>
      <c r="H21" s="251"/>
      <c r="I21" s="254"/>
      <c r="J21" s="251"/>
      <c r="K21" s="251" t="s">
        <v>385</v>
      </c>
      <c r="L21" s="254"/>
      <c r="M21" s="251"/>
      <c r="N21" s="251"/>
      <c r="O21" s="254" t="s">
        <v>385</v>
      </c>
    </row>
    <row r="22">
      <c r="A22" s="32"/>
      <c r="B22" s="216" t="s">
        <v>362</v>
      </c>
      <c r="C22" s="204" t="s">
        <v>363</v>
      </c>
      <c r="D22" s="10"/>
      <c r="E22" s="10"/>
      <c r="F22" s="213" t="s">
        <v>364</v>
      </c>
      <c r="G22" s="244" t="s">
        <v>24</v>
      </c>
      <c r="H22" s="258"/>
      <c r="I22" s="254"/>
      <c r="J22" s="244"/>
      <c r="K22" s="258"/>
      <c r="L22" s="254"/>
      <c r="M22" s="244"/>
      <c r="N22" s="258"/>
      <c r="O22" s="255" t="s">
        <v>24</v>
      </c>
    </row>
    <row r="23">
      <c r="A23" s="32"/>
      <c r="B23" s="32"/>
      <c r="C23" s="204" t="s">
        <v>365</v>
      </c>
      <c r="D23" s="10"/>
      <c r="E23" s="10"/>
      <c r="F23" s="212" t="s">
        <v>105</v>
      </c>
      <c r="G23" s="248" t="s">
        <v>24</v>
      </c>
      <c r="H23" s="258"/>
      <c r="I23" s="271"/>
      <c r="J23" s="248"/>
      <c r="K23" s="258"/>
      <c r="L23" s="271"/>
      <c r="M23" s="248"/>
      <c r="N23" s="258"/>
      <c r="O23" s="271"/>
    </row>
    <row r="24">
      <c r="A24" s="32"/>
      <c r="B24" s="37"/>
      <c r="C24" s="217" t="s">
        <v>366</v>
      </c>
      <c r="D24" s="10"/>
      <c r="E24" s="10"/>
      <c r="F24" s="212" t="s">
        <v>107</v>
      </c>
      <c r="G24" s="248" t="s">
        <v>24</v>
      </c>
      <c r="H24" s="260"/>
      <c r="I24" s="271"/>
      <c r="J24" s="248"/>
      <c r="K24" s="260"/>
      <c r="L24" s="271"/>
      <c r="M24" s="248"/>
      <c r="N24" s="260"/>
      <c r="O24" s="271"/>
    </row>
    <row r="25">
      <c r="A25" s="203" t="s">
        <v>108</v>
      </c>
      <c r="B25" s="102" t="s">
        <v>109</v>
      </c>
      <c r="C25" s="77" t="s">
        <v>110</v>
      </c>
      <c r="D25" s="10"/>
      <c r="E25" s="10"/>
      <c r="F25" s="17"/>
      <c r="G25" s="248" t="s">
        <v>24</v>
      </c>
      <c r="H25" s="260"/>
      <c r="I25" s="254"/>
      <c r="J25" s="248"/>
      <c r="K25" s="260"/>
      <c r="L25" s="254"/>
      <c r="M25" s="248"/>
      <c r="N25" s="260"/>
      <c r="O25" s="255" t="s">
        <v>24</v>
      </c>
    </row>
    <row r="26">
      <c r="A26" s="32"/>
      <c r="B26" s="32"/>
      <c r="C26" s="77" t="s">
        <v>112</v>
      </c>
      <c r="D26" s="10"/>
      <c r="E26" s="10"/>
      <c r="F26" s="17"/>
      <c r="G26" s="248" t="s">
        <v>24</v>
      </c>
      <c r="H26" s="262"/>
      <c r="I26" s="254"/>
      <c r="J26" s="248"/>
      <c r="K26" s="262"/>
      <c r="L26" s="254"/>
      <c r="M26" s="248"/>
      <c r="N26" s="262"/>
      <c r="O26" s="255" t="s">
        <v>24</v>
      </c>
    </row>
    <row r="27">
      <c r="A27" s="32"/>
      <c r="B27" s="32"/>
      <c r="C27" s="80" t="s">
        <v>367</v>
      </c>
      <c r="D27" s="10"/>
      <c r="E27" s="243"/>
      <c r="F27" s="212" t="s">
        <v>38</v>
      </c>
      <c r="G27" s="248" t="s">
        <v>24</v>
      </c>
      <c r="H27" s="260"/>
      <c r="I27" s="254"/>
      <c r="J27" s="248"/>
      <c r="K27" s="260"/>
      <c r="L27" s="254"/>
      <c r="M27" s="248"/>
      <c r="N27" s="260"/>
      <c r="O27" s="255" t="s">
        <v>24</v>
      </c>
    </row>
    <row r="28">
      <c r="A28" s="32"/>
      <c r="B28" s="32"/>
      <c r="C28" s="83" t="s">
        <v>114</v>
      </c>
      <c r="D28" s="10"/>
      <c r="E28" s="243" t="s">
        <v>115</v>
      </c>
      <c r="F28" s="17"/>
      <c r="G28" s="248" t="s">
        <v>24</v>
      </c>
      <c r="H28" s="260"/>
      <c r="I28" s="254"/>
      <c r="J28" s="248"/>
      <c r="K28" s="260"/>
      <c r="L28" s="254"/>
      <c r="M28" s="248"/>
      <c r="N28" s="260"/>
      <c r="O28" s="255" t="s">
        <v>24</v>
      </c>
    </row>
    <row r="29">
      <c r="A29" s="32"/>
      <c r="B29" s="32"/>
      <c r="C29" s="85" t="s">
        <v>116</v>
      </c>
      <c r="D29" s="10"/>
      <c r="E29" s="10"/>
      <c r="F29" s="213" t="s">
        <v>117</v>
      </c>
      <c r="G29" s="248" t="s">
        <v>24</v>
      </c>
      <c r="H29" s="244"/>
      <c r="I29" s="254"/>
      <c r="J29" s="248"/>
      <c r="K29" s="244"/>
      <c r="L29" s="254"/>
      <c r="M29" s="248"/>
      <c r="N29" s="244"/>
      <c r="O29" s="255" t="s">
        <v>24</v>
      </c>
    </row>
    <row r="30">
      <c r="A30" s="32"/>
      <c r="B30" s="32"/>
      <c r="C30" s="87" t="s">
        <v>118</v>
      </c>
      <c r="D30" s="10"/>
      <c r="E30" s="252" t="s">
        <v>386</v>
      </c>
      <c r="F30" s="213"/>
      <c r="G30" s="248" t="s">
        <v>24</v>
      </c>
      <c r="H30" s="260"/>
      <c r="I30" s="254"/>
      <c r="J30" s="248"/>
      <c r="K30" s="260"/>
      <c r="L30" s="254"/>
      <c r="M30" s="248"/>
      <c r="N30" s="260"/>
      <c r="O30" s="255" t="s">
        <v>24</v>
      </c>
    </row>
    <row r="31">
      <c r="A31" s="32"/>
      <c r="B31" s="32"/>
      <c r="C31" s="90" t="s">
        <v>120</v>
      </c>
      <c r="D31" s="10"/>
      <c r="E31" s="252" t="s">
        <v>121</v>
      </c>
      <c r="F31" s="213" t="s">
        <v>122</v>
      </c>
      <c r="G31" s="248" t="s">
        <v>24</v>
      </c>
      <c r="H31" s="260"/>
      <c r="I31" s="254"/>
      <c r="J31" s="248"/>
      <c r="K31" s="260"/>
      <c r="L31" s="254"/>
      <c r="M31" s="248"/>
      <c r="N31" s="260"/>
      <c r="O31" s="255" t="s">
        <v>24</v>
      </c>
    </row>
    <row r="32">
      <c r="A32" s="32"/>
      <c r="B32" s="32"/>
      <c r="C32" s="91" t="s">
        <v>123</v>
      </c>
      <c r="D32" s="10"/>
      <c r="E32" s="10"/>
      <c r="F32" s="213" t="s">
        <v>124</v>
      </c>
      <c r="G32" s="253" t="s">
        <v>24</v>
      </c>
      <c r="H32" s="258"/>
      <c r="I32" s="254"/>
      <c r="J32" s="253"/>
      <c r="K32" s="258"/>
      <c r="L32" s="254"/>
      <c r="M32" s="253"/>
      <c r="N32" s="258"/>
      <c r="O32" s="268" t="s">
        <v>408</v>
      </c>
    </row>
    <row r="33">
      <c r="A33" s="32"/>
      <c r="B33" s="32"/>
      <c r="C33" s="92" t="s">
        <v>125</v>
      </c>
      <c r="D33" s="10"/>
      <c r="E33" s="10"/>
      <c r="F33" s="213" t="s">
        <v>126</v>
      </c>
      <c r="G33" s="248" t="s">
        <v>24</v>
      </c>
      <c r="H33" s="244"/>
      <c r="I33" s="254"/>
      <c r="J33" s="248"/>
      <c r="K33" s="244"/>
      <c r="L33" s="254"/>
      <c r="M33" s="248"/>
      <c r="N33" s="244"/>
      <c r="O33" s="255" t="s">
        <v>24</v>
      </c>
    </row>
    <row r="34">
      <c r="A34" s="32"/>
      <c r="B34" s="32"/>
      <c r="C34" s="77" t="s">
        <v>127</v>
      </c>
      <c r="D34" s="10"/>
      <c r="E34" s="10"/>
      <c r="F34" s="213" t="s">
        <v>128</v>
      </c>
      <c r="G34" s="248" t="s">
        <v>24</v>
      </c>
      <c r="H34" s="258"/>
      <c r="I34" s="254"/>
      <c r="J34" s="248"/>
      <c r="K34" s="258"/>
      <c r="L34" s="254"/>
      <c r="M34" s="248"/>
      <c r="N34" s="258"/>
      <c r="O34" s="255" t="s">
        <v>24</v>
      </c>
    </row>
    <row r="35">
      <c r="A35" s="32"/>
      <c r="B35" s="32"/>
      <c r="C35" s="93" t="s">
        <v>129</v>
      </c>
      <c r="D35" s="10"/>
      <c r="E35" s="245" t="s">
        <v>313</v>
      </c>
      <c r="F35" s="17"/>
      <c r="G35" s="244" t="s">
        <v>24</v>
      </c>
      <c r="H35" s="258"/>
      <c r="I35" s="254"/>
      <c r="J35" s="244"/>
      <c r="K35" s="258"/>
      <c r="L35" s="254"/>
      <c r="M35" s="244"/>
      <c r="N35" s="258"/>
      <c r="O35" s="255" t="s">
        <v>24</v>
      </c>
    </row>
    <row r="36">
      <c r="A36" s="32"/>
      <c r="B36" s="32"/>
      <c r="C36" s="92" t="s">
        <v>368</v>
      </c>
      <c r="D36" s="10"/>
      <c r="E36" s="10"/>
      <c r="F36" s="17"/>
      <c r="G36" s="248" t="s">
        <v>24</v>
      </c>
      <c r="H36" s="260"/>
      <c r="I36" s="254"/>
      <c r="J36" s="248"/>
      <c r="K36" s="260"/>
      <c r="L36" s="254"/>
      <c r="M36" s="248"/>
      <c r="N36" s="260"/>
      <c r="O36" s="255" t="s">
        <v>24</v>
      </c>
    </row>
    <row r="37">
      <c r="A37" s="32"/>
      <c r="B37" s="32"/>
      <c r="C37" s="96" t="s">
        <v>132</v>
      </c>
      <c r="D37" s="10"/>
      <c r="E37" s="10"/>
      <c r="F37" s="220" t="s">
        <v>133</v>
      </c>
      <c r="G37" s="272" t="s">
        <v>24</v>
      </c>
      <c r="H37" s="260"/>
      <c r="I37" s="273"/>
      <c r="J37" s="274"/>
      <c r="K37" s="260"/>
      <c r="L37" s="273"/>
      <c r="M37" s="274"/>
      <c r="N37" s="260"/>
      <c r="O37" s="275" t="s">
        <v>24</v>
      </c>
    </row>
    <row r="38">
      <c r="A38" s="32"/>
      <c r="B38" s="32"/>
      <c r="C38" s="98" t="s">
        <v>134</v>
      </c>
      <c r="D38" s="10"/>
      <c r="E38" s="10"/>
      <c r="F38" s="221" t="s">
        <v>136</v>
      </c>
      <c r="G38" s="244" t="s">
        <v>394</v>
      </c>
      <c r="H38" s="258"/>
      <c r="I38" s="276"/>
      <c r="J38" s="244"/>
      <c r="K38" s="258" t="s">
        <v>394</v>
      </c>
      <c r="L38" s="276"/>
      <c r="M38" s="244"/>
      <c r="N38" s="260"/>
      <c r="O38" s="277" t="s">
        <v>394</v>
      </c>
    </row>
    <row r="39">
      <c r="A39" s="32"/>
      <c r="B39" s="32"/>
      <c r="C39" s="92" t="s">
        <v>137</v>
      </c>
      <c r="D39" s="10"/>
      <c r="E39" s="10"/>
      <c r="F39" s="17"/>
      <c r="G39" s="248" t="s">
        <v>24</v>
      </c>
      <c r="H39" s="259"/>
      <c r="I39" s="254"/>
      <c r="J39" s="248"/>
      <c r="K39" s="259"/>
      <c r="L39" s="254"/>
      <c r="M39" s="248"/>
      <c r="N39" s="259"/>
      <c r="O39" s="255" t="s">
        <v>24</v>
      </c>
    </row>
    <row r="40">
      <c r="A40" s="32"/>
      <c r="B40" s="32"/>
      <c r="C40" s="92" t="s">
        <v>138</v>
      </c>
      <c r="D40" s="10"/>
      <c r="E40" s="10"/>
      <c r="F40" s="17"/>
      <c r="G40" s="248" t="s">
        <v>24</v>
      </c>
      <c r="H40" s="260"/>
      <c r="I40" s="254"/>
      <c r="J40" s="248"/>
      <c r="K40" s="260"/>
      <c r="L40" s="254"/>
      <c r="M40" s="248"/>
      <c r="N40" s="260"/>
      <c r="O40" s="255" t="s">
        <v>24</v>
      </c>
    </row>
    <row r="41">
      <c r="A41" s="32"/>
      <c r="B41" s="37"/>
      <c r="C41" s="101" t="s">
        <v>139</v>
      </c>
      <c r="D41" s="10"/>
      <c r="E41" s="10"/>
      <c r="F41" s="17"/>
      <c r="G41" s="248" t="s">
        <v>24</v>
      </c>
      <c r="H41" s="260"/>
      <c r="I41" s="254"/>
      <c r="J41" s="248"/>
      <c r="K41" s="260"/>
      <c r="L41" s="254"/>
      <c r="M41" s="248"/>
      <c r="N41" s="260"/>
      <c r="O41" s="255" t="s">
        <v>24</v>
      </c>
    </row>
    <row r="42">
      <c r="A42" s="32"/>
      <c r="B42" s="102" t="s">
        <v>140</v>
      </c>
      <c r="C42" s="103" t="s">
        <v>141</v>
      </c>
      <c r="D42" s="245"/>
      <c r="E42" s="245" t="s">
        <v>388</v>
      </c>
      <c r="F42" s="17"/>
      <c r="G42" s="244" t="s">
        <v>24</v>
      </c>
      <c r="H42" s="244"/>
      <c r="I42" s="254"/>
      <c r="J42" s="244"/>
      <c r="K42" s="244"/>
      <c r="L42" s="254"/>
      <c r="M42" s="244"/>
      <c r="N42" s="244"/>
      <c r="O42" s="255" t="s">
        <v>24</v>
      </c>
    </row>
    <row r="43">
      <c r="A43" s="32"/>
      <c r="B43" s="32"/>
      <c r="C43" s="106" t="s">
        <v>145</v>
      </c>
      <c r="D43" s="10"/>
      <c r="E43" s="10"/>
      <c r="F43" s="213"/>
      <c r="G43" s="244" t="s">
        <v>24</v>
      </c>
      <c r="H43" s="244"/>
      <c r="I43" s="254"/>
      <c r="J43" s="244"/>
      <c r="K43" s="244"/>
      <c r="L43" s="254"/>
      <c r="M43" s="244"/>
      <c r="N43" s="244"/>
      <c r="O43" s="255" t="s">
        <v>24</v>
      </c>
    </row>
    <row r="44">
      <c r="A44" s="32"/>
      <c r="B44" s="32"/>
      <c r="C44" s="93" t="s">
        <v>146</v>
      </c>
      <c r="D44" s="10"/>
      <c r="E44" s="10"/>
      <c r="F44" s="213" t="s">
        <v>147</v>
      </c>
      <c r="G44" s="244" t="s">
        <v>24</v>
      </c>
      <c r="H44" s="244"/>
      <c r="I44" s="254"/>
      <c r="J44" s="244"/>
      <c r="K44" s="244"/>
      <c r="L44" s="254"/>
      <c r="M44" s="244"/>
      <c r="N44" s="244"/>
      <c r="O44" s="255" t="s">
        <v>24</v>
      </c>
    </row>
    <row r="45">
      <c r="A45" s="32"/>
      <c r="B45" s="32"/>
      <c r="C45" s="107" t="s">
        <v>148</v>
      </c>
      <c r="D45" s="10"/>
      <c r="E45" s="10"/>
      <c r="F45" s="213" t="s">
        <v>149</v>
      </c>
      <c r="G45" s="244" t="s">
        <v>200</v>
      </c>
      <c r="H45" s="258"/>
      <c r="I45" s="254"/>
      <c r="J45" s="244"/>
      <c r="K45" s="258" t="s">
        <v>200</v>
      </c>
      <c r="L45" s="254"/>
      <c r="M45" s="244"/>
      <c r="N45" s="260"/>
      <c r="O45" s="268" t="s">
        <v>200</v>
      </c>
    </row>
    <row r="46">
      <c r="A46" s="32"/>
      <c r="B46" s="32"/>
      <c r="C46" s="108" t="s">
        <v>150</v>
      </c>
      <c r="D46" s="10"/>
      <c r="E46" s="10"/>
      <c r="F46" s="213" t="s">
        <v>149</v>
      </c>
      <c r="G46" s="248" t="s">
        <v>24</v>
      </c>
      <c r="H46" s="244"/>
      <c r="I46" s="254"/>
      <c r="J46" s="248"/>
      <c r="K46" s="244"/>
      <c r="L46" s="254"/>
      <c r="M46" s="248"/>
      <c r="N46" s="244"/>
      <c r="O46" s="255" t="s">
        <v>24</v>
      </c>
    </row>
    <row r="47">
      <c r="A47" s="32"/>
      <c r="B47" s="32"/>
      <c r="C47" s="109" t="s">
        <v>151</v>
      </c>
      <c r="D47" s="10"/>
      <c r="E47" s="10"/>
      <c r="F47" s="212" t="s">
        <v>153</v>
      </c>
      <c r="G47" s="248" t="s">
        <v>24</v>
      </c>
      <c r="H47" s="244"/>
      <c r="I47" s="254"/>
      <c r="J47" s="248"/>
      <c r="K47" s="244"/>
      <c r="L47" s="254"/>
      <c r="M47" s="248"/>
      <c r="N47" s="244"/>
      <c r="O47" s="255" t="s">
        <v>24</v>
      </c>
    </row>
    <row r="48">
      <c r="A48" s="32"/>
      <c r="B48" s="32"/>
      <c r="C48" s="110" t="s">
        <v>154</v>
      </c>
      <c r="D48" s="10"/>
      <c r="E48" s="10"/>
      <c r="F48" s="17"/>
      <c r="G48" s="248" t="s">
        <v>24</v>
      </c>
      <c r="H48" s="244"/>
      <c r="I48" s="254"/>
      <c r="J48" s="248"/>
      <c r="K48" s="244"/>
      <c r="L48" s="254"/>
      <c r="M48" s="248"/>
      <c r="N48" s="244"/>
      <c r="O48" s="255" t="s">
        <v>24</v>
      </c>
    </row>
    <row r="49">
      <c r="A49" s="32"/>
      <c r="B49" s="32"/>
      <c r="C49" s="111" t="s">
        <v>155</v>
      </c>
      <c r="D49" s="10"/>
      <c r="E49" s="10"/>
      <c r="F49" s="221" t="s">
        <v>397</v>
      </c>
      <c r="G49" s="251" t="s">
        <v>101</v>
      </c>
      <c r="H49" s="251"/>
      <c r="I49" s="276"/>
      <c r="J49" s="251"/>
      <c r="K49" s="251" t="s">
        <v>409</v>
      </c>
      <c r="L49" s="276"/>
      <c r="M49" s="251"/>
      <c r="N49" s="251"/>
      <c r="O49" s="276" t="s">
        <v>397</v>
      </c>
    </row>
    <row r="50">
      <c r="A50" s="32"/>
      <c r="B50" s="32"/>
      <c r="C50" s="112" t="s">
        <v>157</v>
      </c>
      <c r="D50" s="10"/>
      <c r="E50" s="243" t="s">
        <v>158</v>
      </c>
      <c r="F50" s="17"/>
      <c r="G50" s="248" t="s">
        <v>24</v>
      </c>
      <c r="H50" s="244"/>
      <c r="I50" s="254"/>
      <c r="J50" s="248"/>
      <c r="K50" s="244"/>
      <c r="L50" s="254"/>
      <c r="M50" s="248"/>
      <c r="N50" s="244"/>
      <c r="O50" s="255" t="s">
        <v>24</v>
      </c>
    </row>
    <row r="51">
      <c r="A51" s="32"/>
      <c r="B51" s="32"/>
      <c r="C51" s="83" t="s">
        <v>159</v>
      </c>
      <c r="D51" s="10"/>
      <c r="E51" s="10"/>
      <c r="F51" s="17"/>
      <c r="G51" s="248" t="s">
        <v>24</v>
      </c>
      <c r="H51" s="263"/>
      <c r="I51" s="197"/>
      <c r="J51" s="248"/>
      <c r="K51" s="263"/>
      <c r="L51" s="197"/>
      <c r="M51" s="248"/>
      <c r="N51" s="263"/>
      <c r="O51" s="197" t="s">
        <v>24</v>
      </c>
    </row>
    <row r="52">
      <c r="A52" s="32"/>
      <c r="B52" s="32"/>
      <c r="C52" s="93" t="s">
        <v>161</v>
      </c>
      <c r="D52" s="10"/>
      <c r="E52" s="10"/>
      <c r="F52" s="17"/>
      <c r="G52" s="248" t="s">
        <v>24</v>
      </c>
      <c r="H52" s="260"/>
      <c r="I52" s="271"/>
      <c r="J52" s="248"/>
      <c r="K52" s="260"/>
      <c r="L52" s="271"/>
      <c r="M52" s="248"/>
      <c r="N52" s="260"/>
      <c r="O52" s="271"/>
    </row>
    <row r="53">
      <c r="A53" s="32"/>
      <c r="B53" s="32"/>
      <c r="C53" s="93" t="s">
        <v>162</v>
      </c>
      <c r="D53" s="10"/>
      <c r="E53" s="10"/>
      <c r="F53" s="223"/>
      <c r="G53" s="244" t="s">
        <v>394</v>
      </c>
      <c r="H53" s="244"/>
      <c r="I53" s="254"/>
      <c r="J53" s="244"/>
      <c r="K53" s="244" t="s">
        <v>394</v>
      </c>
      <c r="L53" s="254"/>
      <c r="M53" s="244"/>
      <c r="N53" s="244"/>
      <c r="O53" s="268" t="s">
        <v>394</v>
      </c>
    </row>
    <row r="54">
      <c r="A54" s="32"/>
      <c r="B54" s="32"/>
      <c r="C54" s="106" t="s">
        <v>164</v>
      </c>
      <c r="D54" s="10"/>
      <c r="E54" s="10"/>
      <c r="F54" s="224" t="s">
        <v>165</v>
      </c>
      <c r="G54" s="244" t="s">
        <v>24</v>
      </c>
      <c r="H54" s="244"/>
      <c r="I54" s="254"/>
      <c r="J54" s="248"/>
      <c r="K54" s="244"/>
      <c r="L54" s="254"/>
      <c r="M54" s="248"/>
      <c r="N54" s="244"/>
      <c r="O54" s="255" t="s">
        <v>24</v>
      </c>
    </row>
    <row r="55">
      <c r="A55" s="32"/>
      <c r="B55" s="32"/>
      <c r="C55" s="106" t="s">
        <v>166</v>
      </c>
      <c r="D55" s="10"/>
      <c r="E55" s="10"/>
      <c r="F55" s="212" t="s">
        <v>167</v>
      </c>
      <c r="G55" s="244" t="s">
        <v>24</v>
      </c>
      <c r="H55" s="260"/>
      <c r="I55" s="254"/>
      <c r="J55" s="248"/>
      <c r="K55" s="260"/>
      <c r="L55" s="254"/>
      <c r="M55" s="248"/>
      <c r="N55" s="260"/>
      <c r="O55" s="255" t="s">
        <v>24</v>
      </c>
    </row>
    <row r="56">
      <c r="A56" s="32"/>
      <c r="B56" s="37"/>
      <c r="C56" s="93" t="s">
        <v>168</v>
      </c>
      <c r="D56" s="10"/>
      <c r="E56" s="10"/>
      <c r="F56" s="17"/>
      <c r="G56" s="244" t="s">
        <v>24</v>
      </c>
      <c r="H56" s="263"/>
      <c r="I56" s="197"/>
      <c r="J56" s="248"/>
      <c r="K56" s="263"/>
      <c r="L56" s="197"/>
      <c r="M56" s="248"/>
      <c r="N56" s="263"/>
      <c r="O56" s="197" t="s">
        <v>24</v>
      </c>
    </row>
    <row r="57">
      <c r="A57" s="32"/>
      <c r="B57" s="115" t="s">
        <v>169</v>
      </c>
      <c r="C57" s="85" t="s">
        <v>141</v>
      </c>
      <c r="D57" s="10"/>
      <c r="E57" s="10"/>
      <c r="F57" s="213" t="s">
        <v>170</v>
      </c>
      <c r="G57" s="244" t="s">
        <v>24</v>
      </c>
      <c r="I57" s="254"/>
      <c r="J57" s="244"/>
      <c r="K57" s="244"/>
      <c r="L57" s="254"/>
      <c r="M57" s="244"/>
      <c r="N57" s="244"/>
      <c r="O57" s="255" t="s">
        <v>24</v>
      </c>
    </row>
    <row r="58">
      <c r="A58" s="32"/>
      <c r="B58" s="32"/>
      <c r="C58" s="85" t="s">
        <v>171</v>
      </c>
      <c r="D58" s="256" t="s">
        <v>334</v>
      </c>
      <c r="E58" s="10"/>
      <c r="F58" s="212" t="s">
        <v>173</v>
      </c>
      <c r="G58" s="244" t="s">
        <v>24</v>
      </c>
      <c r="I58" s="254"/>
      <c r="J58" s="244"/>
      <c r="K58" s="244"/>
      <c r="L58" s="254"/>
      <c r="M58" s="244"/>
      <c r="N58" s="244"/>
      <c r="O58" s="255" t="s">
        <v>24</v>
      </c>
    </row>
    <row r="59">
      <c r="A59" s="32"/>
      <c r="B59" s="32"/>
      <c r="C59" s="116" t="s">
        <v>315</v>
      </c>
      <c r="D59" s="10"/>
      <c r="E59" s="10"/>
      <c r="F59" s="225" t="s">
        <v>176</v>
      </c>
      <c r="G59" s="244" t="s">
        <v>24</v>
      </c>
      <c r="H59" s="260"/>
      <c r="I59" s="254"/>
      <c r="J59" s="244"/>
      <c r="K59" s="260"/>
      <c r="L59" s="254"/>
      <c r="M59" s="244"/>
      <c r="N59" s="260"/>
      <c r="O59" s="255" t="s">
        <v>24</v>
      </c>
    </row>
    <row r="60">
      <c r="A60" s="32"/>
      <c r="B60" s="37"/>
      <c r="C60" s="77" t="s">
        <v>177</v>
      </c>
      <c r="D60" s="10"/>
      <c r="E60" s="10"/>
      <c r="F60" s="17"/>
      <c r="G60" s="248" t="s">
        <v>24</v>
      </c>
      <c r="H60" s="260"/>
      <c r="I60" s="254"/>
      <c r="J60" s="248"/>
      <c r="K60" s="260"/>
      <c r="L60" s="254"/>
      <c r="M60" s="248"/>
      <c r="N60" s="260"/>
      <c r="O60" s="255" t="s">
        <v>24</v>
      </c>
    </row>
    <row r="61">
      <c r="A61" s="32"/>
      <c r="B61" s="102" t="s">
        <v>178</v>
      </c>
      <c r="C61" s="93" t="s">
        <v>179</v>
      </c>
      <c r="D61" s="10"/>
      <c r="E61" s="10"/>
      <c r="F61" s="17"/>
      <c r="G61" s="248" t="s">
        <v>24</v>
      </c>
      <c r="H61" s="260"/>
      <c r="I61" s="254"/>
      <c r="J61" s="248"/>
      <c r="K61" s="260"/>
      <c r="L61" s="254"/>
      <c r="M61" s="248"/>
      <c r="N61" s="260"/>
      <c r="O61" s="255" t="s">
        <v>24</v>
      </c>
    </row>
    <row r="62">
      <c r="A62" s="32"/>
      <c r="B62" s="32"/>
      <c r="C62" s="93" t="s">
        <v>141</v>
      </c>
      <c r="D62" s="10"/>
      <c r="E62" s="10"/>
      <c r="F62" s="17"/>
      <c r="G62" s="248" t="s">
        <v>24</v>
      </c>
      <c r="H62" s="263"/>
      <c r="I62" s="254"/>
      <c r="J62" s="248"/>
      <c r="K62" s="263"/>
      <c r="L62" s="254"/>
      <c r="M62" s="248"/>
      <c r="N62" s="263"/>
      <c r="O62" s="255" t="s">
        <v>24</v>
      </c>
    </row>
    <row r="63">
      <c r="A63" s="32"/>
      <c r="B63" s="32"/>
      <c r="C63" s="106" t="s">
        <v>181</v>
      </c>
      <c r="D63" s="10"/>
      <c r="E63" s="10"/>
      <c r="F63" s="213" t="s">
        <v>182</v>
      </c>
      <c r="G63" s="248" t="s">
        <v>24</v>
      </c>
      <c r="H63" s="244"/>
      <c r="I63" s="271"/>
      <c r="J63" s="248"/>
      <c r="K63" s="244"/>
      <c r="L63" s="271"/>
      <c r="M63" s="248"/>
      <c r="N63" s="244"/>
      <c r="O63" s="271"/>
    </row>
    <row r="64">
      <c r="A64" s="32"/>
      <c r="B64" s="32"/>
      <c r="C64" s="93" t="s">
        <v>183</v>
      </c>
      <c r="D64" s="10"/>
      <c r="E64" s="10"/>
      <c r="F64" s="17"/>
      <c r="G64" s="248" t="s">
        <v>24</v>
      </c>
      <c r="H64" s="244"/>
      <c r="I64" s="254"/>
      <c r="J64" s="248"/>
      <c r="K64" s="244"/>
      <c r="L64" s="254"/>
      <c r="M64" s="248"/>
      <c r="N64" s="244"/>
      <c r="O64" s="255" t="s">
        <v>24</v>
      </c>
    </row>
    <row r="65">
      <c r="A65" s="32"/>
      <c r="B65" s="32"/>
      <c r="C65" s="93" t="s">
        <v>184</v>
      </c>
      <c r="D65" s="10"/>
      <c r="E65" s="10"/>
      <c r="F65" s="17"/>
      <c r="G65" s="248" t="s">
        <v>24</v>
      </c>
      <c r="H65" s="244"/>
      <c r="I65" s="254"/>
      <c r="J65" s="248"/>
      <c r="K65" s="244"/>
      <c r="L65" s="254"/>
      <c r="M65" s="248"/>
      <c r="N65" s="244"/>
      <c r="O65" s="255" t="s">
        <v>24</v>
      </c>
    </row>
    <row r="66">
      <c r="A66" s="32"/>
      <c r="B66" s="32"/>
      <c r="C66" s="106" t="s">
        <v>185</v>
      </c>
      <c r="D66" s="10"/>
      <c r="E66" s="10"/>
      <c r="F66" s="213" t="s">
        <v>186</v>
      </c>
      <c r="G66" s="248" t="s">
        <v>24</v>
      </c>
      <c r="H66" s="244"/>
      <c r="I66" s="254"/>
      <c r="J66" s="248"/>
      <c r="K66" s="244"/>
      <c r="L66" s="254"/>
      <c r="M66" s="248"/>
      <c r="N66" s="244"/>
      <c r="O66" s="255" t="s">
        <v>24</v>
      </c>
    </row>
    <row r="67">
      <c r="A67" s="32"/>
      <c r="B67" s="32"/>
      <c r="C67" s="87" t="s">
        <v>187</v>
      </c>
      <c r="D67" s="10"/>
      <c r="E67" s="10"/>
      <c r="F67" s="17"/>
      <c r="G67" s="248" t="s">
        <v>24</v>
      </c>
      <c r="H67" s="244"/>
      <c r="I67" s="254"/>
      <c r="J67" s="248"/>
      <c r="K67" s="244"/>
      <c r="L67" s="254"/>
      <c r="M67" s="248"/>
      <c r="N67" s="244"/>
      <c r="O67" s="255" t="s">
        <v>24</v>
      </c>
    </row>
    <row r="68">
      <c r="A68" s="32"/>
      <c r="B68" s="32"/>
      <c r="C68" s="87" t="s">
        <v>188</v>
      </c>
      <c r="D68" s="10"/>
      <c r="E68" s="10"/>
      <c r="F68" s="212" t="s">
        <v>189</v>
      </c>
      <c r="G68" s="248" t="s">
        <v>24</v>
      </c>
      <c r="H68" s="244"/>
      <c r="I68" s="254"/>
      <c r="J68" s="248"/>
      <c r="K68" s="244"/>
      <c r="L68" s="254"/>
      <c r="M68" s="248"/>
      <c r="N68" s="244"/>
      <c r="O68" s="255" t="s">
        <v>24</v>
      </c>
    </row>
    <row r="69">
      <c r="A69" s="32"/>
      <c r="B69" s="32"/>
      <c r="C69" s="77" t="s">
        <v>190</v>
      </c>
      <c r="D69" s="10"/>
      <c r="E69" s="10"/>
      <c r="F69" s="17"/>
      <c r="G69" s="246" t="s">
        <v>389</v>
      </c>
      <c r="H69" s="265"/>
      <c r="I69" s="254"/>
      <c r="J69" s="248"/>
      <c r="K69" s="265"/>
      <c r="L69" s="254"/>
      <c r="M69" s="248"/>
      <c r="N69" s="265"/>
      <c r="O69" s="255" t="s">
        <v>24</v>
      </c>
    </row>
    <row r="70">
      <c r="A70" s="32"/>
      <c r="B70" s="32"/>
      <c r="C70" s="106" t="s">
        <v>191</v>
      </c>
      <c r="D70" s="10"/>
      <c r="E70" s="10"/>
      <c r="F70" s="213" t="s">
        <v>192</v>
      </c>
      <c r="G70" s="248" t="s">
        <v>24</v>
      </c>
      <c r="H70" s="260"/>
      <c r="I70" s="254"/>
      <c r="J70" s="248"/>
      <c r="K70" s="260"/>
      <c r="L70" s="254"/>
      <c r="M70" s="248"/>
      <c r="N70" s="260"/>
      <c r="O70" s="255" t="s">
        <v>24</v>
      </c>
    </row>
    <row r="71">
      <c r="A71" s="32"/>
      <c r="B71" s="32"/>
      <c r="C71" s="106" t="s">
        <v>193</v>
      </c>
      <c r="D71" s="10"/>
      <c r="E71" s="10"/>
      <c r="F71" s="17"/>
      <c r="G71" s="248" t="s">
        <v>24</v>
      </c>
      <c r="H71" s="260"/>
      <c r="I71" s="254"/>
      <c r="J71" s="248"/>
      <c r="K71" s="260"/>
      <c r="L71" s="254"/>
      <c r="M71" s="248"/>
      <c r="N71" s="260"/>
      <c r="O71" s="255" t="s">
        <v>24</v>
      </c>
    </row>
    <row r="72">
      <c r="A72" s="32"/>
      <c r="B72" s="32"/>
      <c r="C72" s="93" t="s">
        <v>194</v>
      </c>
      <c r="D72" s="10"/>
      <c r="E72" s="10"/>
      <c r="F72" s="17"/>
      <c r="G72" s="248" t="s">
        <v>24</v>
      </c>
      <c r="H72" s="260"/>
      <c r="I72" s="254"/>
      <c r="J72" s="248"/>
      <c r="K72" s="260"/>
      <c r="L72" s="254"/>
      <c r="M72" s="248"/>
      <c r="N72" s="260"/>
      <c r="O72" s="255" t="s">
        <v>24</v>
      </c>
    </row>
    <row r="73">
      <c r="A73" s="32"/>
      <c r="B73" s="32"/>
      <c r="C73" s="103" t="s">
        <v>195</v>
      </c>
      <c r="D73" s="10"/>
      <c r="E73" s="10"/>
      <c r="F73" s="213" t="s">
        <v>196</v>
      </c>
      <c r="G73" s="248" t="s">
        <v>24</v>
      </c>
      <c r="H73" s="244"/>
      <c r="I73" s="271"/>
      <c r="J73" s="248"/>
      <c r="K73" s="244"/>
      <c r="L73" s="271"/>
      <c r="M73" s="248"/>
      <c r="N73" s="244"/>
      <c r="O73" s="271"/>
    </row>
    <row r="74">
      <c r="A74" s="32"/>
      <c r="B74" s="32"/>
      <c r="C74" s="93" t="s">
        <v>197</v>
      </c>
      <c r="D74" s="10"/>
      <c r="E74" s="10"/>
      <c r="F74" s="213" t="s">
        <v>196</v>
      </c>
      <c r="G74" s="248" t="s">
        <v>24</v>
      </c>
      <c r="H74" s="244"/>
      <c r="I74" s="271"/>
      <c r="J74" s="248"/>
      <c r="K74" s="244"/>
      <c r="L74" s="271"/>
      <c r="M74" s="248"/>
      <c r="N74" s="244"/>
      <c r="O74" s="271"/>
    </row>
    <row r="75">
      <c r="A75" s="32"/>
      <c r="B75" s="32"/>
      <c r="C75" s="226" t="s">
        <v>198</v>
      </c>
      <c r="D75" s="10"/>
      <c r="E75" s="10"/>
      <c r="F75" s="213" t="s">
        <v>196</v>
      </c>
      <c r="G75" s="248" t="s">
        <v>24</v>
      </c>
      <c r="H75" s="244"/>
      <c r="I75" s="271"/>
      <c r="J75" s="248"/>
      <c r="K75" s="244"/>
      <c r="L75" s="271"/>
      <c r="M75" s="248"/>
      <c r="N75" s="244"/>
      <c r="O75" s="271"/>
    </row>
    <row r="76">
      <c r="A76" s="32"/>
      <c r="B76" s="32"/>
      <c r="C76" s="118" t="s">
        <v>199</v>
      </c>
      <c r="D76" s="10"/>
      <c r="E76" s="10"/>
      <c r="F76" s="212" t="s">
        <v>200</v>
      </c>
      <c r="G76" s="244" t="s">
        <v>200</v>
      </c>
      <c r="H76" s="244"/>
      <c r="I76" s="271"/>
      <c r="J76" s="244"/>
      <c r="K76" s="244"/>
      <c r="L76" s="271"/>
      <c r="M76" s="244"/>
      <c r="N76" s="244"/>
      <c r="O76" s="271"/>
    </row>
    <row r="77">
      <c r="A77" s="32"/>
      <c r="B77" s="32"/>
      <c r="C77" s="227" t="s">
        <v>201</v>
      </c>
      <c r="D77" s="10"/>
      <c r="E77" s="10"/>
      <c r="F77" s="213" t="s">
        <v>202</v>
      </c>
      <c r="G77" s="248" t="s">
        <v>24</v>
      </c>
      <c r="H77" s="260"/>
      <c r="I77" s="271"/>
      <c r="J77" s="248"/>
      <c r="K77" s="260"/>
      <c r="L77" s="271"/>
      <c r="M77" s="248"/>
      <c r="N77" s="260"/>
      <c r="O77" s="271"/>
    </row>
    <row r="78">
      <c r="A78" s="32"/>
      <c r="B78" s="32"/>
      <c r="C78" s="119" t="s">
        <v>203</v>
      </c>
      <c r="D78" s="10"/>
      <c r="E78" s="10"/>
      <c r="F78" s="213" t="s">
        <v>124</v>
      </c>
      <c r="G78" s="246" t="s">
        <v>24</v>
      </c>
      <c r="H78" s="244"/>
      <c r="I78" s="254"/>
      <c r="J78" s="246"/>
      <c r="K78" s="244" t="s">
        <v>24</v>
      </c>
      <c r="L78" s="254"/>
      <c r="M78" s="246"/>
      <c r="N78" s="244"/>
      <c r="O78" s="268" t="s">
        <v>410</v>
      </c>
    </row>
    <row r="79">
      <c r="A79" s="32"/>
      <c r="B79" s="32"/>
      <c r="C79" s="120" t="s">
        <v>316</v>
      </c>
      <c r="D79" s="10"/>
      <c r="E79" s="10"/>
      <c r="F79" s="213" t="s">
        <v>124</v>
      </c>
      <c r="G79" s="248" t="s">
        <v>24</v>
      </c>
      <c r="H79" s="259"/>
      <c r="I79" s="254"/>
      <c r="J79" s="248"/>
      <c r="K79" s="259"/>
      <c r="L79" s="254"/>
      <c r="M79" s="248"/>
      <c r="N79" s="259"/>
      <c r="O79" s="255" t="s">
        <v>24</v>
      </c>
    </row>
    <row r="80">
      <c r="A80" s="32"/>
      <c r="B80" s="37"/>
      <c r="C80" s="121" t="s">
        <v>205</v>
      </c>
      <c r="D80" s="245" t="s">
        <v>206</v>
      </c>
      <c r="E80" s="10"/>
      <c r="F80" s="213" t="s">
        <v>207</v>
      </c>
      <c r="G80" s="248" t="s">
        <v>24</v>
      </c>
      <c r="H80" s="244"/>
      <c r="I80" s="254"/>
      <c r="J80" s="248"/>
      <c r="K80" s="244"/>
      <c r="L80" s="254"/>
      <c r="M80" s="248"/>
      <c r="N80" s="244"/>
      <c r="O80" s="255" t="s">
        <v>24</v>
      </c>
    </row>
    <row r="81">
      <c r="A81" s="32"/>
      <c r="B81" s="102" t="s">
        <v>208</v>
      </c>
      <c r="C81" s="106" t="s">
        <v>209</v>
      </c>
      <c r="D81" s="10"/>
      <c r="E81" s="10"/>
      <c r="F81" s="17"/>
      <c r="G81" s="248" t="s">
        <v>24</v>
      </c>
      <c r="H81" s="244"/>
      <c r="I81" s="254"/>
      <c r="J81" s="248"/>
      <c r="K81" s="244"/>
      <c r="L81" s="254"/>
      <c r="M81" s="248"/>
      <c r="N81" s="244"/>
      <c r="O81" s="255" t="s">
        <v>24</v>
      </c>
    </row>
    <row r="82">
      <c r="A82" s="32"/>
      <c r="B82" s="32"/>
      <c r="C82" s="123" t="s">
        <v>210</v>
      </c>
      <c r="D82" s="10"/>
      <c r="E82" s="10"/>
      <c r="F82" s="213" t="s">
        <v>211</v>
      </c>
      <c r="G82" s="248" t="s">
        <v>24</v>
      </c>
      <c r="H82" s="244"/>
      <c r="I82" s="254"/>
      <c r="J82" s="248"/>
      <c r="K82" s="244"/>
      <c r="L82" s="254"/>
      <c r="M82" s="248"/>
      <c r="N82" s="244"/>
      <c r="O82" s="255" t="s">
        <v>24</v>
      </c>
    </row>
    <row r="83">
      <c r="A83" s="32"/>
      <c r="B83" s="32"/>
      <c r="C83" s="124" t="s">
        <v>212</v>
      </c>
      <c r="D83" s="10"/>
      <c r="E83" s="10"/>
      <c r="F83" s="17"/>
      <c r="G83" s="248" t="s">
        <v>24</v>
      </c>
      <c r="H83" s="244"/>
      <c r="I83" s="254"/>
      <c r="J83" s="248"/>
      <c r="K83" s="244"/>
      <c r="L83" s="254"/>
      <c r="M83" s="248"/>
      <c r="N83" s="244"/>
      <c r="O83" s="255" t="s">
        <v>24</v>
      </c>
    </row>
    <row r="84">
      <c r="A84" s="32"/>
      <c r="B84" s="32"/>
      <c r="C84" s="125" t="s">
        <v>213</v>
      </c>
      <c r="D84" s="10"/>
      <c r="E84" s="10"/>
      <c r="F84" s="17"/>
      <c r="G84" s="248" t="s">
        <v>24</v>
      </c>
      <c r="H84" s="244"/>
      <c r="I84" s="254"/>
      <c r="J84" s="248"/>
      <c r="K84" s="244"/>
      <c r="L84" s="254"/>
      <c r="M84" s="248"/>
      <c r="N84" s="244"/>
      <c r="O84" s="255" t="s">
        <v>24</v>
      </c>
    </row>
    <row r="85">
      <c r="A85" s="32"/>
      <c r="B85" s="37"/>
      <c r="C85" s="124" t="s">
        <v>214</v>
      </c>
      <c r="D85" s="10"/>
      <c r="E85" s="10"/>
      <c r="F85" s="17"/>
      <c r="G85" s="248" t="s">
        <v>24</v>
      </c>
      <c r="H85" s="260"/>
      <c r="I85" s="254"/>
      <c r="J85" s="248"/>
      <c r="K85" s="260"/>
      <c r="L85" s="254"/>
      <c r="M85" s="248"/>
      <c r="N85" s="260"/>
      <c r="O85" s="255" t="s">
        <v>24</v>
      </c>
    </row>
    <row r="86">
      <c r="A86" s="32"/>
      <c r="B86" s="115" t="s">
        <v>217</v>
      </c>
      <c r="C86" s="124" t="s">
        <v>218</v>
      </c>
      <c r="D86" s="10"/>
      <c r="E86" s="10"/>
      <c r="F86" s="17"/>
      <c r="G86" s="248" t="s">
        <v>24</v>
      </c>
      <c r="H86" s="244"/>
      <c r="I86" s="254"/>
      <c r="J86" s="248"/>
      <c r="K86" s="244"/>
      <c r="L86" s="254"/>
      <c r="M86" s="248"/>
      <c r="N86" s="244"/>
      <c r="O86" s="255" t="s">
        <v>24</v>
      </c>
    </row>
    <row r="87">
      <c r="A87" s="32"/>
      <c r="B87" s="32"/>
      <c r="C87" s="124" t="s">
        <v>220</v>
      </c>
      <c r="D87" s="10"/>
      <c r="E87" s="10"/>
      <c r="F87" s="17"/>
      <c r="G87" s="248" t="s">
        <v>24</v>
      </c>
      <c r="H87" s="258"/>
      <c r="I87" s="254"/>
      <c r="J87" s="248"/>
      <c r="K87" s="258"/>
      <c r="L87" s="254"/>
      <c r="M87" s="248"/>
      <c r="N87" s="258"/>
      <c r="O87" s="255" t="s">
        <v>24</v>
      </c>
    </row>
    <row r="88">
      <c r="A88" s="32"/>
      <c r="B88" s="32"/>
      <c r="C88" s="129" t="s">
        <v>221</v>
      </c>
      <c r="D88" s="10"/>
      <c r="E88" s="10"/>
      <c r="F88" s="213" t="s">
        <v>222</v>
      </c>
      <c r="G88" s="248" t="s">
        <v>24</v>
      </c>
      <c r="H88" s="260"/>
      <c r="I88" s="254"/>
      <c r="J88" s="248"/>
      <c r="K88" s="260"/>
      <c r="L88" s="254"/>
      <c r="M88" s="248"/>
      <c r="N88" s="260"/>
      <c r="O88" s="255" t="s">
        <v>24</v>
      </c>
    </row>
    <row r="89">
      <c r="A89" s="32"/>
      <c r="B89" s="37"/>
      <c r="C89" s="124" t="s">
        <v>223</v>
      </c>
      <c r="D89" s="10"/>
      <c r="E89" s="10"/>
      <c r="F89" s="213" t="s">
        <v>224</v>
      </c>
      <c r="G89" s="244" t="s">
        <v>24</v>
      </c>
      <c r="H89" s="260"/>
      <c r="I89" s="254"/>
      <c r="J89" s="244"/>
      <c r="K89" s="260"/>
      <c r="L89" s="254"/>
      <c r="M89" s="244"/>
      <c r="N89" s="260"/>
      <c r="O89" s="255" t="s">
        <v>24</v>
      </c>
    </row>
    <row r="90">
      <c r="A90" s="32"/>
      <c r="B90" s="102" t="s">
        <v>244</v>
      </c>
      <c r="C90" s="106" t="s">
        <v>245</v>
      </c>
      <c r="D90" s="10"/>
      <c r="E90" s="245" t="s">
        <v>248</v>
      </c>
      <c r="F90" s="237" t="s">
        <v>411</v>
      </c>
      <c r="G90" s="244" t="s">
        <v>412</v>
      </c>
      <c r="H90" s="258"/>
      <c r="I90" s="254"/>
      <c r="J90" s="244"/>
      <c r="K90" s="258" t="s">
        <v>412</v>
      </c>
      <c r="L90" s="254"/>
      <c r="M90" s="244"/>
      <c r="N90" s="260"/>
      <c r="O90" s="278" t="s">
        <v>412</v>
      </c>
    </row>
    <row r="91">
      <c r="A91" s="32"/>
      <c r="B91" s="32"/>
      <c r="C91" s="123" t="s">
        <v>247</v>
      </c>
      <c r="D91" s="10"/>
      <c r="E91" s="245" t="s">
        <v>248</v>
      </c>
      <c r="F91" s="213" t="s">
        <v>207</v>
      </c>
      <c r="G91" s="248" t="s">
        <v>24</v>
      </c>
      <c r="H91" s="244"/>
      <c r="I91" s="254"/>
      <c r="J91" s="248"/>
      <c r="K91" s="244"/>
      <c r="L91" s="254"/>
      <c r="M91" s="248"/>
      <c r="N91" s="244"/>
      <c r="O91" s="255" t="s">
        <v>24</v>
      </c>
    </row>
    <row r="92">
      <c r="A92" s="32"/>
      <c r="B92" s="32"/>
      <c r="C92" s="123" t="s">
        <v>249</v>
      </c>
      <c r="D92" s="10"/>
      <c r="E92" s="10"/>
      <c r="F92" s="213" t="s">
        <v>250</v>
      </c>
      <c r="G92" s="248" t="s">
        <v>24</v>
      </c>
      <c r="H92" s="260"/>
      <c r="I92" s="254"/>
      <c r="J92" s="248"/>
      <c r="K92" s="260"/>
      <c r="L92" s="254"/>
      <c r="M92" s="248"/>
      <c r="N92" s="260"/>
      <c r="O92" s="255" t="s">
        <v>24</v>
      </c>
    </row>
    <row r="93">
      <c r="A93" s="32"/>
      <c r="B93" s="32"/>
      <c r="C93" s="103" t="s">
        <v>251</v>
      </c>
      <c r="D93" s="10"/>
      <c r="E93" s="10"/>
      <c r="F93" s="213" t="s">
        <v>252</v>
      </c>
      <c r="G93" s="244" t="s">
        <v>24</v>
      </c>
      <c r="H93" s="244"/>
      <c r="I93" s="254"/>
      <c r="J93" s="244"/>
      <c r="K93" s="244"/>
      <c r="L93" s="254"/>
      <c r="M93" s="244"/>
      <c r="N93" s="244"/>
      <c r="O93" s="255" t="s">
        <v>24</v>
      </c>
    </row>
    <row r="94">
      <c r="A94" s="32"/>
      <c r="B94" s="32"/>
      <c r="C94" s="106" t="s">
        <v>253</v>
      </c>
      <c r="D94" s="10"/>
      <c r="E94" s="10"/>
      <c r="F94" s="213" t="s">
        <v>254</v>
      </c>
      <c r="G94" s="244" t="s">
        <v>24</v>
      </c>
      <c r="H94" s="244"/>
      <c r="I94" s="254"/>
      <c r="J94" s="244"/>
      <c r="K94" s="244"/>
      <c r="L94" s="254"/>
      <c r="M94" s="244"/>
      <c r="N94" s="244"/>
      <c r="O94" s="255" t="s">
        <v>24</v>
      </c>
    </row>
    <row r="95">
      <c r="A95" s="32"/>
      <c r="B95" s="32"/>
      <c r="C95" s="106" t="s">
        <v>255</v>
      </c>
      <c r="D95" s="10"/>
      <c r="E95" s="10"/>
      <c r="F95" s="213" t="s">
        <v>256</v>
      </c>
      <c r="G95" s="244" t="s">
        <v>24</v>
      </c>
      <c r="H95" s="258"/>
      <c r="I95" s="254"/>
      <c r="J95" s="244"/>
      <c r="K95" s="258" t="s">
        <v>413</v>
      </c>
      <c r="L95" s="254"/>
      <c r="M95" s="244"/>
      <c r="N95" s="258"/>
      <c r="O95" s="268" t="s">
        <v>413</v>
      </c>
    </row>
    <row r="96">
      <c r="A96" s="32"/>
      <c r="B96" s="32"/>
      <c r="C96" s="93" t="s">
        <v>257</v>
      </c>
      <c r="D96" s="10"/>
      <c r="E96" s="10"/>
      <c r="F96" s="17"/>
      <c r="G96" s="248" t="s">
        <v>24</v>
      </c>
      <c r="H96" s="244"/>
      <c r="I96" s="254"/>
      <c r="J96" s="248"/>
      <c r="K96" s="244"/>
      <c r="L96" s="254"/>
      <c r="M96" s="248"/>
      <c r="N96" s="244"/>
      <c r="O96" s="255" t="s">
        <v>24</v>
      </c>
    </row>
    <row r="97">
      <c r="A97" s="32"/>
      <c r="B97" s="32"/>
      <c r="C97" s="93" t="s">
        <v>258</v>
      </c>
      <c r="D97" s="10"/>
      <c r="E97" s="10"/>
      <c r="F97" s="213" t="s">
        <v>259</v>
      </c>
      <c r="G97" s="248" t="s">
        <v>24</v>
      </c>
      <c r="H97" s="244"/>
      <c r="I97" s="254"/>
      <c r="J97" s="248"/>
      <c r="K97" s="244"/>
      <c r="L97" s="254"/>
      <c r="M97" s="248"/>
      <c r="N97" s="244"/>
      <c r="O97" s="255" t="s">
        <v>24</v>
      </c>
    </row>
    <row r="98">
      <c r="A98" s="32"/>
      <c r="B98" s="32"/>
      <c r="C98" s="238" t="s">
        <v>260</v>
      </c>
      <c r="D98" s="10"/>
      <c r="E98" s="10"/>
      <c r="F98" s="17"/>
      <c r="G98" s="244" t="s">
        <v>24</v>
      </c>
      <c r="H98" s="244"/>
      <c r="I98" s="254"/>
      <c r="J98" s="244"/>
      <c r="K98" s="244" t="s">
        <v>414</v>
      </c>
      <c r="L98" s="254"/>
      <c r="M98" s="244"/>
      <c r="N98" s="244"/>
      <c r="O98" s="268" t="s">
        <v>414</v>
      </c>
    </row>
    <row r="99">
      <c r="A99" s="32"/>
      <c r="B99" s="37"/>
      <c r="C99" s="238" t="s">
        <v>263</v>
      </c>
      <c r="D99" s="10"/>
      <c r="E99" s="10"/>
      <c r="F99" s="17"/>
      <c r="G99" s="248" t="s">
        <v>24</v>
      </c>
      <c r="H99" s="244"/>
      <c r="I99" s="254"/>
      <c r="J99" s="248"/>
      <c r="K99" s="244"/>
      <c r="L99" s="254"/>
      <c r="M99" s="248"/>
      <c r="N99" s="244"/>
      <c r="O99" s="255" t="s">
        <v>24</v>
      </c>
    </row>
    <row r="100">
      <c r="A100" s="32"/>
      <c r="B100" s="141" t="s">
        <v>264</v>
      </c>
      <c r="C100" s="142" t="s">
        <v>265</v>
      </c>
      <c r="E100" s="245" t="s">
        <v>266</v>
      </c>
      <c r="F100" s="240"/>
      <c r="G100" s="248" t="s">
        <v>24</v>
      </c>
      <c r="H100" s="260"/>
      <c r="I100" s="271"/>
      <c r="J100" s="248"/>
      <c r="K100" s="260"/>
      <c r="L100" s="271"/>
      <c r="M100" s="248"/>
      <c r="N100" s="260"/>
      <c r="O100" s="271"/>
    </row>
    <row r="101">
      <c r="A101" s="37"/>
      <c r="B101" s="37"/>
      <c r="C101" s="148" t="s">
        <v>274</v>
      </c>
      <c r="D101" s="10"/>
      <c r="F101" s="241" t="s">
        <v>275</v>
      </c>
      <c r="G101" s="248" t="s">
        <v>24</v>
      </c>
      <c r="H101" s="244"/>
      <c r="I101" s="254"/>
      <c r="J101" s="248"/>
      <c r="K101" s="244"/>
      <c r="L101" s="254"/>
      <c r="M101" s="248"/>
      <c r="N101" s="244"/>
      <c r="O101" s="255" t="s">
        <v>24</v>
      </c>
    </row>
    <row r="102">
      <c r="A102" s="154"/>
      <c r="B102" s="154">
        <v>102.0</v>
      </c>
      <c r="C102" s="154" t="s">
        <v>398</v>
      </c>
      <c r="D102" s="154"/>
      <c r="E102" s="154"/>
      <c r="F102" s="142" t="s">
        <v>276</v>
      </c>
      <c r="G102" s="200">
        <v>100.0</v>
      </c>
      <c r="H102" s="200">
        <v>0.0</v>
      </c>
      <c r="I102" s="200">
        <v>0.0</v>
      </c>
      <c r="J102" s="200">
        <v>0.0</v>
      </c>
      <c r="K102" s="200">
        <v>17.0</v>
      </c>
      <c r="L102" s="200">
        <v>0.0</v>
      </c>
      <c r="M102" s="200">
        <v>0.0</v>
      </c>
      <c r="N102" s="200">
        <v>0.0</v>
      </c>
      <c r="O102" s="200">
        <v>89.0</v>
      </c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>
      <c r="A107" s="79" t="s">
        <v>415</v>
      </c>
      <c r="B107" s="152"/>
      <c r="C107" s="152"/>
      <c r="D107" s="153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>
      <c r="A108" s="154"/>
      <c r="B108" s="155" t="s">
        <v>5</v>
      </c>
      <c r="C108" s="155" t="s">
        <v>277</v>
      </c>
      <c r="D108" s="155" t="s">
        <v>7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>
      <c r="A109" s="155" t="s">
        <v>278</v>
      </c>
      <c r="B109" s="154">
        <v>79.0</v>
      </c>
      <c r="C109" s="154">
        <v>0.0</v>
      </c>
      <c r="D109" s="154">
        <v>0.0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>
      <c r="A110" s="155" t="s">
        <v>279</v>
      </c>
      <c r="B110" s="154">
        <v>11.0</v>
      </c>
      <c r="C110" s="154">
        <v>0.0</v>
      </c>
      <c r="D110" s="154">
        <v>0.0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>
      <c r="A111" s="155" t="s">
        <v>280</v>
      </c>
      <c r="B111" s="154">
        <v>0.0</v>
      </c>
      <c r="C111" s="154">
        <v>0.0</v>
      </c>
      <c r="D111" s="154">
        <v>0.0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>
      <c r="A112" s="155" t="s">
        <v>281</v>
      </c>
      <c r="B112" s="154">
        <v>0.0</v>
      </c>
      <c r="C112" s="154">
        <v>0.0</v>
      </c>
      <c r="D112" s="154">
        <v>0.0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>
      <c r="A115" s="156" t="s">
        <v>282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>
      <c r="A116" s="157" t="s">
        <v>8</v>
      </c>
      <c r="B116" s="158"/>
      <c r="C116" s="158"/>
      <c r="D116" s="158"/>
      <c r="E116" s="157" t="s">
        <v>283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>
      <c r="A117" s="159" t="s">
        <v>284</v>
      </c>
      <c r="B117" s="158"/>
      <c r="C117" s="158"/>
      <c r="D117" s="158"/>
      <c r="E117" s="160" t="s">
        <v>24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>
      <c r="A118" s="161" t="s">
        <v>285</v>
      </c>
      <c r="B118" s="158"/>
      <c r="C118" s="158"/>
      <c r="D118" s="158"/>
      <c r="E118" s="162" t="s">
        <v>12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>
      <c r="A119" s="163" t="s">
        <v>286</v>
      </c>
      <c r="B119" s="158"/>
      <c r="C119" s="158"/>
      <c r="D119" s="158"/>
      <c r="E119" s="164" t="s">
        <v>287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>
      <c r="A120" s="165" t="s">
        <v>288</v>
      </c>
      <c r="B120" s="158"/>
      <c r="C120" s="158"/>
      <c r="D120" s="158"/>
      <c r="E120" s="166" t="s">
        <v>10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>
      <c r="A121" s="167" t="s">
        <v>289</v>
      </c>
      <c r="B121" s="158"/>
      <c r="C121" s="158"/>
      <c r="D121" s="158"/>
      <c r="E121" s="168" t="s">
        <v>290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>
      <c r="A122" s="169" t="s">
        <v>291</v>
      </c>
      <c r="B122" s="158"/>
      <c r="C122" s="158"/>
      <c r="D122" s="158"/>
      <c r="E122" s="170" t="s">
        <v>292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>
      <c r="A123" s="171" t="s">
        <v>293</v>
      </c>
      <c r="B123" s="158"/>
      <c r="C123" s="158"/>
      <c r="D123" s="158"/>
      <c r="E123" s="172" t="s">
        <v>294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>
      <c r="A124" s="173" t="s">
        <v>295</v>
      </c>
      <c r="B124" s="158"/>
      <c r="C124" s="158"/>
      <c r="D124" s="158"/>
      <c r="E124" s="174" t="s">
        <v>11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>
      <c r="A125" s="175" t="s">
        <v>296</v>
      </c>
      <c r="B125" s="158"/>
      <c r="C125" s="158"/>
      <c r="D125" s="158"/>
      <c r="E125" s="176" t="s">
        <v>12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>
      <c r="A126" s="177" t="s">
        <v>297</v>
      </c>
      <c r="B126" s="158"/>
      <c r="C126" s="158"/>
      <c r="D126" s="158"/>
      <c r="E126" s="158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>
      <c r="A127" s="178" t="s">
        <v>298</v>
      </c>
      <c r="B127" s="158"/>
      <c r="C127" s="158"/>
      <c r="D127" s="158"/>
      <c r="E127" s="158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>
      <c r="A128" s="179" t="s">
        <v>299</v>
      </c>
      <c r="B128" s="158"/>
      <c r="C128" s="158"/>
      <c r="D128" s="158"/>
      <c r="E128" s="158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>
      <c r="A129" s="180" t="s">
        <v>300</v>
      </c>
      <c r="B129" s="158"/>
      <c r="C129" s="158"/>
      <c r="D129" s="158"/>
      <c r="E129" s="158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>
      <c r="A130" s="181" t="s">
        <v>301</v>
      </c>
      <c r="B130" s="158"/>
      <c r="C130" s="158"/>
      <c r="D130" s="158"/>
      <c r="E130" s="158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</sheetData>
  <mergeCells count="17">
    <mergeCell ref="B25:B41"/>
    <mergeCell ref="B42:B56"/>
    <mergeCell ref="B57:B60"/>
    <mergeCell ref="B61:B80"/>
    <mergeCell ref="B81:B85"/>
    <mergeCell ref="B86:B89"/>
    <mergeCell ref="B90:B99"/>
    <mergeCell ref="B100:B101"/>
    <mergeCell ref="A107:D107"/>
    <mergeCell ref="A115:E115"/>
    <mergeCell ref="G1:I1"/>
    <mergeCell ref="J1:L1"/>
    <mergeCell ref="M1:O1"/>
    <mergeCell ref="A6:A24"/>
    <mergeCell ref="B6:B21"/>
    <mergeCell ref="B22:B24"/>
    <mergeCell ref="A25:A101"/>
  </mergeCells>
  <conditionalFormatting sqref="B3:D3 G4:O4">
    <cfRule type="cellIs" dxfId="14" priority="1" stopIfTrue="1" operator="equal">
      <formula>"Anu"</formula>
    </cfRule>
  </conditionalFormatting>
  <conditionalFormatting sqref="B3:D3 G4:O4">
    <cfRule type="cellIs" dxfId="0" priority="2" stopIfTrue="1" operator="equal">
      <formula>"Amrita"</formula>
    </cfRule>
  </conditionalFormatting>
  <conditionalFormatting sqref="B3:D3 G4:O4">
    <cfRule type="cellIs" dxfId="1" priority="3" stopIfTrue="1" operator="equal">
      <formula>"Soumya"</formula>
    </cfRule>
  </conditionalFormatting>
  <conditionalFormatting sqref="B3:D3 G4:O4">
    <cfRule type="cellIs" dxfId="2" priority="4" stopIfTrue="1" operator="equal">
      <formula>"Hannah"</formula>
    </cfRule>
  </conditionalFormatting>
  <conditionalFormatting sqref="B3:D3 G4:O4">
    <cfRule type="cellIs" dxfId="4" priority="5" stopIfTrue="1" operator="equal">
      <formula>"Nitin"</formula>
    </cfRule>
  </conditionalFormatting>
  <conditionalFormatting sqref="B3:D3 G4:O4">
    <cfRule type="cellIs" dxfId="15" priority="6" stopIfTrue="1" operator="equal">
      <formula>"Pankhuri"</formula>
    </cfRule>
  </conditionalFormatting>
  <conditionalFormatting sqref="B3:D3 G4:O4">
    <cfRule type="cellIs" dxfId="5" priority="7" stopIfTrue="1" operator="equal">
      <formula>"Ramakrishna"</formula>
    </cfRule>
  </conditionalFormatting>
  <conditionalFormatting sqref="B3:D3 G4:O4">
    <cfRule type="cellIs" dxfId="6" priority="8" stopIfTrue="1" operator="equal">
      <formula>"Abdul"</formula>
    </cfRule>
  </conditionalFormatting>
  <conditionalFormatting sqref="B3:D3 G4:O4">
    <cfRule type="cellIs" dxfId="7" priority="9" stopIfTrue="1" operator="equal">
      <formula>"Saheli"</formula>
    </cfRule>
  </conditionalFormatting>
  <conditionalFormatting sqref="B3:D3 G4:O4">
    <cfRule type="cellIs" dxfId="8" priority="10" stopIfTrue="1" operator="equal">
      <formula>"Matt"</formula>
    </cfRule>
  </conditionalFormatting>
  <conditionalFormatting sqref="B3:D3 G4:O4">
    <cfRule type="cellIs" dxfId="9" priority="11" stopIfTrue="1" operator="equal">
      <formula>"Vishnu"</formula>
    </cfRule>
  </conditionalFormatting>
  <conditionalFormatting sqref="B3:D3 G4:O4">
    <cfRule type="cellIs" dxfId="10" priority="12" stopIfTrue="1" operator="equal">
      <formula>"Ivy"</formula>
    </cfRule>
  </conditionalFormatting>
  <conditionalFormatting sqref="B3:D3 G4:O4">
    <cfRule type="cellIs" dxfId="11" priority="13" stopIfTrue="1" operator="equal">
      <formula>"Rupal"</formula>
    </cfRule>
  </conditionalFormatting>
  <conditionalFormatting sqref="B3:D3 G4:O4">
    <cfRule type="cellIs" dxfId="25" priority="14" stopIfTrue="1" operator="equal">
      <formula>"Utkarsh"</formula>
    </cfRule>
  </conditionalFormatting>
  <conditionalFormatting sqref="B3:D3 G4:O4 G6:O101">
    <cfRule type="cellIs" dxfId="18" priority="15" stopIfTrue="1" operator="equal">
      <formula>"Not Tested"</formula>
    </cfRule>
  </conditionalFormatting>
  <conditionalFormatting sqref="G6:O101">
    <cfRule type="cellIs" dxfId="19" priority="16" stopIfTrue="1" operator="equal">
      <formula>"N/A"</formula>
    </cfRule>
  </conditionalFormatting>
  <conditionalFormatting sqref="B2:D2 G3:O3">
    <cfRule type="containsText" dxfId="20" priority="17" stopIfTrue="1" operator="containsText" text="Incomplete">
      <formula>NOT(ISERROR(SEARCH(("Incomplete"),(B2))))</formula>
    </cfRule>
  </conditionalFormatting>
  <conditionalFormatting sqref="B2:D2 G3:O3">
    <cfRule type="containsText" dxfId="17" priority="18" stopIfTrue="1" operator="containsText" text="Broken">
      <formula>NOT(ISERROR(SEARCH(("Broken"),(B2))))</formula>
    </cfRule>
  </conditionalFormatting>
  <conditionalFormatting sqref="B2:D2 G3:O3">
    <cfRule type="containsText" dxfId="21" priority="19" stopIfTrue="1" operator="containsText" text="Some problems">
      <formula>NOT(ISERROR(SEARCH(("Some problems"),(B2))))</formula>
    </cfRule>
  </conditionalFormatting>
  <conditionalFormatting sqref="B2:D2 G3:O3">
    <cfRule type="containsText" dxfId="22" priority="20" stopIfTrue="1" operator="containsText" text="All OK">
      <formula>NOT(ISERROR(SEARCH(("All OK"),(B2))))</formula>
    </cfRule>
  </conditionalFormatting>
  <conditionalFormatting sqref="B2:D2 G3:O3">
    <cfRule type="containsText" dxfId="23" priority="21" stopIfTrue="1" operator="containsText" text="In Progress">
      <formula>NOT(ISERROR(SEARCH(("In Progress"),(B2))))</formula>
    </cfRule>
  </conditionalFormatting>
  <conditionalFormatting sqref="B2:D2 G3:O3">
    <cfRule type="containsText" dxfId="24" priority="22" stopIfTrue="1" operator="containsText" text="Not Tested">
      <formula>NOT(ISERROR(SEARCH(("Not Tested"),(B2))))</formula>
    </cfRule>
  </conditionalFormatting>
  <conditionalFormatting sqref="G6:O101">
    <cfRule type="cellIs" dxfId="16" priority="23" operator="equal">
      <formula>"OK"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416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416</v>
      </c>
      <c r="H1" s="6"/>
      <c r="I1" s="7"/>
      <c r="J1" s="5" t="s">
        <v>417</v>
      </c>
      <c r="K1" s="6"/>
      <c r="L1" s="7"/>
      <c r="M1" s="5" t="s">
        <v>418</v>
      </c>
      <c r="N1" s="6"/>
      <c r="O1" s="7"/>
    </row>
    <row r="2">
      <c r="A2" s="8"/>
      <c r="B2" s="9" t="s">
        <v>419</v>
      </c>
      <c r="C2" s="9" t="s">
        <v>10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</row>
    <row r="3">
      <c r="A3" s="13" t="s">
        <v>8</v>
      </c>
      <c r="B3" s="9" t="s">
        <v>297</v>
      </c>
      <c r="C3" s="9" t="s">
        <v>12</v>
      </c>
      <c r="D3" s="9" t="s">
        <v>12</v>
      </c>
      <c r="E3" s="10"/>
      <c r="F3" s="14" t="s">
        <v>9</v>
      </c>
      <c r="G3" s="15" t="s">
        <v>292</v>
      </c>
      <c r="H3" s="15" t="s">
        <v>10</v>
      </c>
      <c r="I3" s="15" t="s">
        <v>10</v>
      </c>
      <c r="J3" s="15" t="s">
        <v>10</v>
      </c>
      <c r="K3" s="15" t="s">
        <v>11</v>
      </c>
      <c r="L3" s="15" t="s">
        <v>10</v>
      </c>
      <c r="M3" s="15" t="s">
        <v>10</v>
      </c>
      <c r="N3" s="15" t="s">
        <v>10</v>
      </c>
      <c r="O3" s="15" t="s">
        <v>11</v>
      </c>
    </row>
    <row r="4">
      <c r="A4" s="16"/>
      <c r="B4" s="10"/>
      <c r="C4" s="10"/>
      <c r="D4" s="10"/>
      <c r="E4" s="10"/>
      <c r="F4" s="17"/>
      <c r="G4" s="15" t="s">
        <v>297</v>
      </c>
      <c r="H4" s="15" t="s">
        <v>12</v>
      </c>
      <c r="I4" s="15" t="s">
        <v>12</v>
      </c>
      <c r="J4" s="15" t="s">
        <v>12</v>
      </c>
      <c r="K4" s="15" t="s">
        <v>420</v>
      </c>
      <c r="L4" s="15" t="s">
        <v>12</v>
      </c>
      <c r="M4" s="15" t="s">
        <v>12</v>
      </c>
      <c r="N4" s="15" t="s">
        <v>12</v>
      </c>
      <c r="O4" s="15" t="s">
        <v>297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  <c r="M5" s="21"/>
      <c r="N5" s="21"/>
      <c r="O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79" t="s">
        <v>394</v>
      </c>
      <c r="H6" s="260"/>
      <c r="I6" s="244"/>
      <c r="J6" s="248"/>
      <c r="K6" s="260"/>
      <c r="L6" s="244"/>
      <c r="M6" s="248"/>
      <c r="N6" s="260"/>
      <c r="O6" s="279" t="s">
        <v>394</v>
      </c>
    </row>
    <row r="7">
      <c r="A7" s="32"/>
      <c r="B7" s="32"/>
      <c r="C7" s="142" t="s">
        <v>421</v>
      </c>
      <c r="D7" s="10"/>
      <c r="E7" s="245" t="s">
        <v>96</v>
      </c>
      <c r="F7" s="17"/>
      <c r="G7" s="280" t="s">
        <v>403</v>
      </c>
      <c r="H7" s="259"/>
      <c r="I7" s="244"/>
      <c r="J7" s="248"/>
      <c r="K7" s="259"/>
      <c r="L7" s="244"/>
      <c r="M7" s="248"/>
      <c r="N7" s="259"/>
      <c r="O7" s="244"/>
    </row>
    <row r="8">
      <c r="A8" s="32"/>
      <c r="B8" s="32"/>
      <c r="C8" s="91" t="s">
        <v>345</v>
      </c>
      <c r="D8" s="10"/>
      <c r="E8" s="247" t="s">
        <v>383</v>
      </c>
      <c r="F8" s="17"/>
      <c r="G8" s="248" t="s">
        <v>24</v>
      </c>
      <c r="H8" s="259"/>
      <c r="I8" s="244"/>
      <c r="J8" s="248"/>
      <c r="K8" s="259"/>
      <c r="L8" s="244"/>
      <c r="M8" s="248"/>
      <c r="N8" s="259"/>
      <c r="O8" s="244" t="s">
        <v>24</v>
      </c>
    </row>
    <row r="9">
      <c r="A9" s="32"/>
      <c r="B9" s="32"/>
      <c r="C9" s="91" t="s">
        <v>347</v>
      </c>
      <c r="D9" s="10"/>
      <c r="E9" s="249" t="s">
        <v>308</v>
      </c>
      <c r="F9" s="17"/>
      <c r="G9" s="244" t="s">
        <v>24</v>
      </c>
      <c r="H9" s="260"/>
      <c r="I9" s="244"/>
      <c r="J9" s="244"/>
      <c r="K9" s="260"/>
      <c r="L9" s="244"/>
      <c r="M9" s="244"/>
      <c r="N9" s="260"/>
      <c r="O9" s="244" t="s">
        <v>24</v>
      </c>
    </row>
    <row r="10">
      <c r="A10" s="32"/>
      <c r="B10" s="32"/>
      <c r="C10" s="87" t="s">
        <v>348</v>
      </c>
      <c r="D10" s="10"/>
      <c r="E10" s="245" t="s">
        <v>77</v>
      </c>
      <c r="F10" s="17"/>
      <c r="G10" s="248" t="s">
        <v>24</v>
      </c>
      <c r="H10" s="260"/>
      <c r="I10" s="244"/>
      <c r="J10" s="248"/>
      <c r="K10" s="260"/>
      <c r="L10" s="244"/>
      <c r="M10" s="248"/>
      <c r="N10" s="260"/>
      <c r="O10" s="244" t="s">
        <v>24</v>
      </c>
    </row>
    <row r="11">
      <c r="A11" s="32"/>
      <c r="B11" s="32"/>
      <c r="C11" s="87" t="s">
        <v>349</v>
      </c>
      <c r="D11" s="10"/>
      <c r="E11" s="245" t="s">
        <v>100</v>
      </c>
      <c r="F11" s="17"/>
      <c r="G11" s="246" t="s">
        <v>101</v>
      </c>
      <c r="H11" s="260"/>
      <c r="I11" s="244"/>
      <c r="J11" s="248"/>
      <c r="K11" s="260"/>
      <c r="L11" s="244"/>
      <c r="M11" s="248"/>
      <c r="N11" s="260"/>
      <c r="O11" s="244" t="s">
        <v>24</v>
      </c>
    </row>
    <row r="12">
      <c r="A12" s="32"/>
      <c r="B12" s="32"/>
      <c r="C12" s="87" t="s">
        <v>350</v>
      </c>
      <c r="D12" s="10"/>
      <c r="E12" s="10"/>
      <c r="F12" s="212" t="s">
        <v>351</v>
      </c>
      <c r="G12" s="280" t="s">
        <v>395</v>
      </c>
      <c r="H12" s="260"/>
      <c r="I12" s="244"/>
      <c r="J12" s="248"/>
      <c r="K12" s="260"/>
      <c r="L12" s="244"/>
      <c r="M12" s="248"/>
      <c r="N12" s="260"/>
      <c r="O12" s="244" t="s">
        <v>24</v>
      </c>
    </row>
    <row r="13">
      <c r="A13" s="32"/>
      <c r="B13" s="32"/>
      <c r="C13" s="87" t="s">
        <v>352</v>
      </c>
      <c r="D13" s="10"/>
      <c r="E13" s="10"/>
      <c r="F13" s="213"/>
      <c r="G13" s="280" t="s">
        <v>404</v>
      </c>
      <c r="H13" s="260"/>
      <c r="I13" s="244"/>
      <c r="J13" s="248"/>
      <c r="K13" s="260"/>
      <c r="L13" s="244"/>
      <c r="M13" s="248"/>
      <c r="N13" s="260"/>
      <c r="O13" s="279" t="s">
        <v>422</v>
      </c>
    </row>
    <row r="14">
      <c r="A14" s="32"/>
      <c r="B14" s="32"/>
      <c r="C14" s="77" t="s">
        <v>354</v>
      </c>
      <c r="D14" s="10"/>
      <c r="E14" s="10"/>
      <c r="F14" s="213" t="s">
        <v>83</v>
      </c>
      <c r="G14" s="248" t="s">
        <v>24</v>
      </c>
      <c r="H14" s="260"/>
      <c r="I14" s="244"/>
      <c r="J14" s="248"/>
      <c r="K14" s="260"/>
      <c r="L14" s="244"/>
      <c r="M14" s="248"/>
      <c r="N14" s="260"/>
      <c r="O14" s="244" t="s">
        <v>24</v>
      </c>
    </row>
    <row r="15">
      <c r="A15" s="32"/>
      <c r="B15" s="32"/>
      <c r="C15" s="214" t="s">
        <v>355</v>
      </c>
      <c r="D15" s="10"/>
      <c r="E15" s="245" t="s">
        <v>34</v>
      </c>
      <c r="F15" s="17"/>
      <c r="G15" s="279" t="s">
        <v>406</v>
      </c>
      <c r="H15" s="259"/>
      <c r="I15" s="244"/>
      <c r="J15" s="248"/>
      <c r="K15" s="259"/>
      <c r="L15" s="244"/>
      <c r="M15" s="248"/>
      <c r="N15" s="259"/>
      <c r="O15" s="279" t="s">
        <v>406</v>
      </c>
    </row>
    <row r="16">
      <c r="A16" s="32"/>
      <c r="B16" s="32"/>
      <c r="C16" s="77" t="s">
        <v>357</v>
      </c>
      <c r="D16" s="10"/>
      <c r="E16" s="245" t="s">
        <v>34</v>
      </c>
      <c r="F16" s="17"/>
      <c r="G16" s="248" t="s">
        <v>24</v>
      </c>
      <c r="H16" s="260"/>
      <c r="I16" s="244"/>
      <c r="J16" s="248"/>
      <c r="K16" s="260"/>
      <c r="L16" s="244"/>
      <c r="M16" s="248"/>
      <c r="N16" s="260"/>
      <c r="O16" s="244" t="s">
        <v>24</v>
      </c>
    </row>
    <row r="17">
      <c r="A17" s="32"/>
      <c r="B17" s="32"/>
      <c r="C17" s="87" t="s">
        <v>358</v>
      </c>
      <c r="D17" s="10"/>
      <c r="E17" s="245"/>
      <c r="F17" s="212" t="s">
        <v>38</v>
      </c>
      <c r="G17" s="251" t="s">
        <v>24</v>
      </c>
      <c r="H17" s="261"/>
      <c r="I17" s="244"/>
      <c r="J17" s="251"/>
      <c r="K17" s="261"/>
      <c r="L17" s="244"/>
      <c r="M17" s="251"/>
      <c r="N17" s="261"/>
      <c r="O17" s="281" t="s">
        <v>24</v>
      </c>
    </row>
    <row r="18">
      <c r="A18" s="32"/>
      <c r="B18" s="32"/>
      <c r="C18" s="129" t="s">
        <v>359</v>
      </c>
      <c r="D18" s="10"/>
      <c r="E18" s="245"/>
      <c r="F18" s="212" t="s">
        <v>38</v>
      </c>
      <c r="G18" s="251" t="s">
        <v>24</v>
      </c>
      <c r="H18" s="261"/>
      <c r="I18" s="244"/>
      <c r="J18" s="251"/>
      <c r="K18" s="261"/>
      <c r="L18" s="244"/>
      <c r="M18" s="251"/>
      <c r="N18" s="261"/>
      <c r="O18" s="281" t="s">
        <v>24</v>
      </c>
    </row>
    <row r="19">
      <c r="A19" s="32"/>
      <c r="B19" s="32"/>
      <c r="C19" s="87" t="s">
        <v>360</v>
      </c>
      <c r="D19" s="10"/>
      <c r="E19" s="245"/>
      <c r="F19" s="212" t="s">
        <v>38</v>
      </c>
      <c r="G19" s="282" t="s">
        <v>407</v>
      </c>
      <c r="H19" s="261"/>
      <c r="I19" s="244"/>
      <c r="J19" s="251"/>
      <c r="K19" s="261"/>
      <c r="L19" s="244"/>
      <c r="M19" s="251"/>
      <c r="N19" s="261"/>
      <c r="O19" s="279"/>
    </row>
    <row r="20">
      <c r="A20" s="32"/>
      <c r="B20" s="37"/>
      <c r="C20" s="77" t="s">
        <v>396</v>
      </c>
      <c r="D20" s="10"/>
      <c r="E20" s="245" t="s">
        <v>100</v>
      </c>
      <c r="F20" s="213" t="s">
        <v>103</v>
      </c>
      <c r="G20" s="251" t="s">
        <v>385</v>
      </c>
      <c r="H20" s="251"/>
      <c r="I20" s="244"/>
      <c r="J20" s="251"/>
      <c r="K20" s="251"/>
      <c r="L20" s="244"/>
      <c r="M20" s="251"/>
      <c r="N20" s="251"/>
      <c r="O20" s="279" t="s">
        <v>422</v>
      </c>
    </row>
    <row r="21">
      <c r="A21" s="32"/>
      <c r="B21" s="216" t="s">
        <v>362</v>
      </c>
      <c r="C21" s="204" t="s">
        <v>363</v>
      </c>
      <c r="D21" s="10"/>
      <c r="E21" s="10"/>
      <c r="F21" s="213" t="s">
        <v>364</v>
      </c>
      <c r="G21" s="244" t="s">
        <v>24</v>
      </c>
      <c r="H21" s="258"/>
      <c r="I21" s="244"/>
      <c r="J21" s="244"/>
      <c r="K21" s="258"/>
      <c r="L21" s="244"/>
      <c r="M21" s="244"/>
      <c r="N21" s="258"/>
      <c r="O21" s="244" t="s">
        <v>24</v>
      </c>
    </row>
    <row r="22">
      <c r="A22" s="32"/>
      <c r="B22" s="32"/>
      <c r="C22" s="204" t="s">
        <v>365</v>
      </c>
      <c r="D22" s="10"/>
      <c r="E22" s="10"/>
      <c r="F22" s="212" t="s">
        <v>105</v>
      </c>
      <c r="G22" s="248"/>
      <c r="H22" s="258"/>
      <c r="I22" s="244"/>
      <c r="J22" s="248"/>
      <c r="K22" s="258"/>
      <c r="L22" s="244"/>
      <c r="M22" s="248"/>
      <c r="N22" s="258"/>
      <c r="O22" s="244" t="s">
        <v>24</v>
      </c>
    </row>
    <row r="23">
      <c r="A23" s="32"/>
      <c r="B23" s="37"/>
      <c r="C23" s="217" t="s">
        <v>366</v>
      </c>
      <c r="D23" s="10"/>
      <c r="E23" s="10"/>
      <c r="F23" s="212" t="s">
        <v>107</v>
      </c>
      <c r="G23" s="248"/>
      <c r="H23" s="260"/>
      <c r="I23" s="244"/>
      <c r="J23" s="248"/>
      <c r="K23" s="260"/>
      <c r="L23" s="244"/>
      <c r="M23" s="248"/>
      <c r="N23" s="260"/>
      <c r="O23" s="244" t="s">
        <v>24</v>
      </c>
    </row>
    <row r="24">
      <c r="A24" s="203" t="s">
        <v>108</v>
      </c>
      <c r="B24" s="102" t="s">
        <v>109</v>
      </c>
      <c r="C24" s="77" t="s">
        <v>110</v>
      </c>
      <c r="D24" s="10"/>
      <c r="E24" s="10"/>
      <c r="F24" s="17"/>
      <c r="G24" s="248" t="s">
        <v>24</v>
      </c>
      <c r="H24" s="260"/>
      <c r="I24" s="244"/>
      <c r="J24" s="248"/>
      <c r="K24" s="260"/>
      <c r="L24" s="244"/>
      <c r="M24" s="248"/>
      <c r="N24" s="260"/>
      <c r="O24" s="244"/>
    </row>
    <row r="25">
      <c r="A25" s="32"/>
      <c r="B25" s="32"/>
      <c r="C25" s="77" t="s">
        <v>112</v>
      </c>
      <c r="D25" s="10"/>
      <c r="E25" s="10"/>
      <c r="F25" s="17"/>
      <c r="G25" s="248" t="s">
        <v>24</v>
      </c>
      <c r="H25" s="262"/>
      <c r="I25" s="244"/>
      <c r="J25" s="248"/>
      <c r="K25" s="262"/>
      <c r="L25" s="244"/>
      <c r="M25" s="248"/>
      <c r="N25" s="262"/>
      <c r="O25" s="244" t="s">
        <v>24</v>
      </c>
    </row>
    <row r="26">
      <c r="A26" s="32"/>
      <c r="B26" s="32"/>
      <c r="C26" s="80" t="s">
        <v>367</v>
      </c>
      <c r="D26" s="10"/>
      <c r="E26" s="243"/>
      <c r="F26" s="212" t="s">
        <v>38</v>
      </c>
      <c r="G26" s="248" t="s">
        <v>24</v>
      </c>
      <c r="H26" s="260"/>
      <c r="I26" s="244"/>
      <c r="J26" s="248"/>
      <c r="K26" s="260"/>
      <c r="L26" s="244"/>
      <c r="M26" s="248"/>
      <c r="N26" s="260"/>
      <c r="O26" s="244" t="s">
        <v>24</v>
      </c>
    </row>
    <row r="27">
      <c r="A27" s="32"/>
      <c r="B27" s="32"/>
      <c r="C27" s="83" t="s">
        <v>114</v>
      </c>
      <c r="D27" s="10"/>
      <c r="E27" s="243" t="s">
        <v>115</v>
      </c>
      <c r="F27" s="17"/>
      <c r="G27" s="248" t="s">
        <v>24</v>
      </c>
      <c r="H27" s="260"/>
      <c r="I27" s="244"/>
      <c r="J27" s="248"/>
      <c r="K27" s="260"/>
      <c r="L27" s="244"/>
      <c r="M27" s="248"/>
      <c r="N27" s="260"/>
      <c r="O27" s="244"/>
    </row>
    <row r="28">
      <c r="A28" s="32"/>
      <c r="B28" s="32"/>
      <c r="C28" s="85" t="s">
        <v>116</v>
      </c>
      <c r="D28" s="10"/>
      <c r="E28" s="10"/>
      <c r="F28" s="213" t="s">
        <v>117</v>
      </c>
      <c r="G28" s="248" t="s">
        <v>24</v>
      </c>
      <c r="H28" s="244"/>
      <c r="I28" s="244"/>
      <c r="J28" s="248"/>
      <c r="K28" s="244" t="s">
        <v>24</v>
      </c>
      <c r="L28" s="244"/>
      <c r="M28" s="248"/>
      <c r="N28" s="244"/>
      <c r="O28" s="244"/>
    </row>
    <row r="29">
      <c r="A29" s="32"/>
      <c r="B29" s="32"/>
      <c r="C29" s="87" t="s">
        <v>118</v>
      </c>
      <c r="D29" s="10"/>
      <c r="E29" s="252" t="s">
        <v>386</v>
      </c>
      <c r="F29" s="213"/>
      <c r="G29" s="248" t="s">
        <v>24</v>
      </c>
      <c r="H29" s="260"/>
      <c r="I29" s="244"/>
      <c r="J29" s="248"/>
      <c r="K29" s="260"/>
      <c r="L29" s="244"/>
      <c r="M29" s="248"/>
      <c r="N29" s="260"/>
      <c r="O29" s="244"/>
    </row>
    <row r="30">
      <c r="A30" s="32"/>
      <c r="B30" s="32"/>
      <c r="C30" s="90" t="s">
        <v>120</v>
      </c>
      <c r="D30" s="10"/>
      <c r="E30" s="252" t="s">
        <v>121</v>
      </c>
      <c r="F30" s="213" t="s">
        <v>122</v>
      </c>
      <c r="G30" s="248" t="s">
        <v>24</v>
      </c>
      <c r="H30" s="260"/>
      <c r="I30" s="244"/>
      <c r="J30" s="248"/>
      <c r="K30" s="260"/>
      <c r="L30" s="244"/>
      <c r="M30" s="248"/>
      <c r="N30" s="260"/>
      <c r="O30" s="244"/>
    </row>
    <row r="31">
      <c r="A31" s="32"/>
      <c r="B31" s="32"/>
      <c r="C31" s="91" t="s">
        <v>123</v>
      </c>
      <c r="D31" s="10"/>
      <c r="E31" s="10"/>
      <c r="F31" s="213" t="s">
        <v>124</v>
      </c>
      <c r="G31" s="283" t="s">
        <v>408</v>
      </c>
      <c r="H31" s="258"/>
      <c r="I31" s="253"/>
      <c r="J31" s="246"/>
      <c r="K31" s="258"/>
      <c r="L31" s="253"/>
      <c r="M31" s="246"/>
      <c r="N31" s="258"/>
      <c r="O31" s="283" t="s">
        <v>408</v>
      </c>
    </row>
    <row r="32">
      <c r="A32" s="32"/>
      <c r="B32" s="32"/>
      <c r="C32" s="92" t="s">
        <v>125</v>
      </c>
      <c r="D32" s="10"/>
      <c r="E32" s="10"/>
      <c r="F32" s="213" t="s">
        <v>126</v>
      </c>
      <c r="G32" s="248" t="s">
        <v>24</v>
      </c>
      <c r="H32" s="244"/>
      <c r="I32" s="244"/>
      <c r="J32" s="248"/>
      <c r="K32" s="244"/>
      <c r="L32" s="244"/>
      <c r="M32" s="248"/>
      <c r="N32" s="244"/>
      <c r="O32" s="244"/>
    </row>
    <row r="33">
      <c r="A33" s="32"/>
      <c r="B33" s="32"/>
      <c r="C33" s="77" t="s">
        <v>127</v>
      </c>
      <c r="D33" s="10"/>
      <c r="E33" s="10"/>
      <c r="F33" s="213" t="s">
        <v>128</v>
      </c>
      <c r="G33" s="248" t="s">
        <v>24</v>
      </c>
      <c r="H33" s="258"/>
      <c r="I33" s="244"/>
      <c r="J33" s="248"/>
      <c r="K33" s="258"/>
      <c r="L33" s="244"/>
      <c r="M33" s="248"/>
      <c r="N33" s="258"/>
      <c r="O33" s="244"/>
    </row>
    <row r="34">
      <c r="A34" s="32"/>
      <c r="B34" s="32"/>
      <c r="C34" s="93" t="s">
        <v>129</v>
      </c>
      <c r="D34" s="10"/>
      <c r="E34" s="245" t="s">
        <v>313</v>
      </c>
      <c r="F34" s="17"/>
      <c r="G34" s="244" t="s">
        <v>24</v>
      </c>
      <c r="H34" s="258"/>
      <c r="I34" s="244"/>
      <c r="J34" s="244"/>
      <c r="K34" s="258"/>
      <c r="L34" s="244"/>
      <c r="M34" s="244"/>
      <c r="N34" s="258"/>
      <c r="O34" s="244"/>
    </row>
    <row r="35">
      <c r="A35" s="32"/>
      <c r="B35" s="32"/>
      <c r="C35" s="92" t="s">
        <v>368</v>
      </c>
      <c r="D35" s="10"/>
      <c r="E35" s="10"/>
      <c r="F35" s="17"/>
      <c r="G35" s="248" t="s">
        <v>24</v>
      </c>
      <c r="H35" s="260"/>
      <c r="I35" s="244"/>
      <c r="J35" s="248"/>
      <c r="K35" s="260"/>
      <c r="L35" s="244"/>
      <c r="M35" s="248"/>
      <c r="N35" s="260"/>
      <c r="O35" s="244"/>
    </row>
    <row r="36">
      <c r="A36" s="32"/>
      <c r="B36" s="32"/>
      <c r="C36" s="96" t="s">
        <v>132</v>
      </c>
      <c r="D36" s="10"/>
      <c r="E36" s="10"/>
      <c r="F36" s="220"/>
      <c r="G36" s="284" t="s">
        <v>423</v>
      </c>
      <c r="H36" s="260"/>
      <c r="I36" s="244"/>
      <c r="J36" s="244"/>
      <c r="K36" s="260"/>
      <c r="L36" s="244"/>
      <c r="M36" s="244"/>
      <c r="N36" s="260"/>
      <c r="O36" s="285" t="s">
        <v>133</v>
      </c>
    </row>
    <row r="37">
      <c r="A37" s="32"/>
      <c r="B37" s="32"/>
      <c r="C37" s="98" t="s">
        <v>134</v>
      </c>
      <c r="D37" s="10"/>
      <c r="E37" s="10"/>
      <c r="F37" s="221" t="s">
        <v>136</v>
      </c>
      <c r="G37" s="279" t="s">
        <v>394</v>
      </c>
      <c r="H37" s="260"/>
      <c r="I37" s="244"/>
      <c r="J37" s="244"/>
      <c r="K37" s="260"/>
      <c r="L37" s="244"/>
      <c r="M37" s="244"/>
      <c r="N37" s="260"/>
      <c r="O37" s="279" t="s">
        <v>394</v>
      </c>
    </row>
    <row r="38">
      <c r="A38" s="32"/>
      <c r="B38" s="32"/>
      <c r="C38" s="92" t="s">
        <v>137</v>
      </c>
      <c r="D38" s="10"/>
      <c r="E38" s="10"/>
      <c r="F38" s="17"/>
      <c r="G38" s="248" t="s">
        <v>24</v>
      </c>
      <c r="H38" s="259"/>
      <c r="I38" s="244"/>
      <c r="J38" s="248"/>
      <c r="K38" s="259"/>
      <c r="L38" s="244"/>
      <c r="M38" s="248"/>
      <c r="N38" s="259"/>
      <c r="O38" s="244"/>
    </row>
    <row r="39">
      <c r="A39" s="32"/>
      <c r="B39" s="32"/>
      <c r="C39" s="92" t="s">
        <v>138</v>
      </c>
      <c r="D39" s="10"/>
      <c r="E39" s="10"/>
      <c r="F39" s="17"/>
      <c r="G39" s="248" t="s">
        <v>24</v>
      </c>
      <c r="H39" s="260"/>
      <c r="I39" s="244"/>
      <c r="J39" s="248"/>
      <c r="K39" s="260"/>
      <c r="L39" s="244"/>
      <c r="M39" s="248"/>
      <c r="N39" s="260"/>
      <c r="O39" s="244"/>
    </row>
    <row r="40">
      <c r="A40" s="32"/>
      <c r="B40" s="37"/>
      <c r="C40" s="101" t="s">
        <v>139</v>
      </c>
      <c r="D40" s="10"/>
      <c r="E40" s="10"/>
      <c r="F40" s="17"/>
      <c r="G40" s="248" t="s">
        <v>24</v>
      </c>
      <c r="H40" s="260"/>
      <c r="I40" s="244"/>
      <c r="J40" s="248"/>
      <c r="K40" s="260"/>
      <c r="L40" s="244"/>
      <c r="M40" s="248"/>
      <c r="N40" s="260"/>
      <c r="O40" s="244"/>
    </row>
    <row r="41">
      <c r="A41" s="32"/>
      <c r="B41" s="102" t="s">
        <v>140</v>
      </c>
      <c r="C41" s="103" t="s">
        <v>141</v>
      </c>
      <c r="D41" s="245"/>
      <c r="E41" s="245" t="s">
        <v>388</v>
      </c>
      <c r="F41" s="17"/>
      <c r="G41" s="244" t="s">
        <v>24</v>
      </c>
      <c r="H41" s="244"/>
      <c r="I41" s="244"/>
      <c r="J41" s="244"/>
      <c r="K41" s="244" t="s">
        <v>24</v>
      </c>
      <c r="L41" s="244"/>
      <c r="M41" s="244"/>
      <c r="N41" s="244"/>
      <c r="O41" s="244"/>
    </row>
    <row r="42">
      <c r="A42" s="32"/>
      <c r="B42" s="32"/>
      <c r="C42" s="106" t="s">
        <v>145</v>
      </c>
      <c r="D42" s="10"/>
      <c r="E42" s="10"/>
      <c r="F42" s="213"/>
      <c r="G42" s="244" t="s">
        <v>24</v>
      </c>
      <c r="H42" s="244"/>
      <c r="I42" s="244"/>
      <c r="J42" s="244"/>
      <c r="K42" s="244" t="s">
        <v>24</v>
      </c>
      <c r="L42" s="244"/>
      <c r="M42" s="244"/>
      <c r="N42" s="244"/>
      <c r="O42" s="244"/>
    </row>
    <row r="43">
      <c r="A43" s="32"/>
      <c r="B43" s="32"/>
      <c r="C43" s="93" t="s">
        <v>146</v>
      </c>
      <c r="D43" s="10"/>
      <c r="E43" s="10"/>
      <c r="F43" s="213" t="s">
        <v>147</v>
      </c>
      <c r="G43" s="244" t="s">
        <v>24</v>
      </c>
      <c r="H43" s="244"/>
      <c r="I43" s="244"/>
      <c r="J43" s="244"/>
      <c r="K43" s="244"/>
      <c r="L43" s="244"/>
      <c r="M43" s="244"/>
      <c r="N43" s="244"/>
      <c r="O43" s="244"/>
    </row>
    <row r="44">
      <c r="A44" s="32"/>
      <c r="B44" s="32"/>
      <c r="C44" s="107" t="s">
        <v>148</v>
      </c>
      <c r="D44" s="10"/>
      <c r="E44" s="10"/>
      <c r="F44" s="213" t="s">
        <v>149</v>
      </c>
      <c r="G44" s="279" t="s">
        <v>200</v>
      </c>
      <c r="H44" s="260"/>
      <c r="I44" s="244"/>
      <c r="J44" s="248"/>
      <c r="K44" s="260"/>
      <c r="L44" s="244"/>
      <c r="M44" s="248"/>
      <c r="N44" s="260"/>
      <c r="O44" s="279" t="s">
        <v>200</v>
      </c>
    </row>
    <row r="45">
      <c r="A45" s="32"/>
      <c r="B45" s="32"/>
      <c r="C45" s="108" t="s">
        <v>150</v>
      </c>
      <c r="D45" s="10"/>
      <c r="E45" s="10"/>
      <c r="F45" s="213" t="s">
        <v>149</v>
      </c>
      <c r="G45" s="248" t="s">
        <v>24</v>
      </c>
      <c r="H45" s="244"/>
      <c r="I45" s="244"/>
      <c r="J45" s="248"/>
      <c r="K45" s="244"/>
      <c r="L45" s="244"/>
      <c r="M45" s="248"/>
      <c r="N45" s="244"/>
      <c r="O45" s="244"/>
    </row>
    <row r="46">
      <c r="A46" s="32"/>
      <c r="B46" s="32"/>
      <c r="C46" s="109" t="s">
        <v>151</v>
      </c>
      <c r="D46" s="10"/>
      <c r="E46" s="10"/>
      <c r="F46" s="212" t="s">
        <v>153</v>
      </c>
      <c r="G46" s="248" t="s">
        <v>24</v>
      </c>
      <c r="H46" s="244"/>
      <c r="I46" s="244"/>
      <c r="J46" s="248"/>
      <c r="K46" s="244"/>
      <c r="L46" s="244"/>
      <c r="M46" s="248"/>
      <c r="N46" s="244"/>
      <c r="O46" s="279" t="s">
        <v>424</v>
      </c>
    </row>
    <row r="47">
      <c r="A47" s="32"/>
      <c r="B47" s="32"/>
      <c r="C47" s="110" t="s">
        <v>154</v>
      </c>
      <c r="D47" s="10"/>
      <c r="E47" s="10"/>
      <c r="F47" s="17"/>
      <c r="G47" s="248" t="s">
        <v>24</v>
      </c>
      <c r="H47" s="244"/>
      <c r="I47" s="244"/>
      <c r="J47" s="248"/>
      <c r="K47" s="244"/>
      <c r="L47" s="244"/>
      <c r="M47" s="248"/>
      <c r="N47" s="244"/>
      <c r="O47" s="244"/>
    </row>
    <row r="48">
      <c r="A48" s="32"/>
      <c r="B48" s="32"/>
      <c r="C48" s="111" t="s">
        <v>155</v>
      </c>
      <c r="D48" s="10"/>
      <c r="E48" s="10"/>
      <c r="F48" s="221" t="s">
        <v>397</v>
      </c>
      <c r="G48" s="251" t="s">
        <v>397</v>
      </c>
      <c r="H48" s="251"/>
      <c r="I48" s="251"/>
      <c r="J48" s="251"/>
      <c r="K48" s="251"/>
      <c r="L48" s="251"/>
      <c r="M48" s="251"/>
      <c r="N48" s="251"/>
      <c r="O48" s="251"/>
    </row>
    <row r="49">
      <c r="A49" s="32"/>
      <c r="B49" s="32"/>
      <c r="C49" s="112" t="s">
        <v>157</v>
      </c>
      <c r="D49" s="10"/>
      <c r="E49" s="243" t="s">
        <v>158</v>
      </c>
      <c r="F49" s="17"/>
      <c r="G49" s="248" t="s">
        <v>24</v>
      </c>
      <c r="H49" s="244"/>
      <c r="I49" s="244"/>
      <c r="J49" s="248"/>
      <c r="K49" s="244"/>
      <c r="L49" s="244"/>
      <c r="M49" s="248"/>
      <c r="N49" s="244"/>
      <c r="O49" s="244"/>
    </row>
    <row r="50">
      <c r="A50" s="32"/>
      <c r="B50" s="32"/>
      <c r="C50" s="83" t="s">
        <v>159</v>
      </c>
      <c r="D50" s="10"/>
      <c r="E50" s="10"/>
      <c r="F50" s="17"/>
      <c r="G50" s="248"/>
      <c r="H50" s="263"/>
      <c r="I50" s="244"/>
      <c r="J50" s="248"/>
      <c r="K50" s="263"/>
      <c r="L50" s="244"/>
      <c r="M50" s="248"/>
      <c r="N50" s="263"/>
      <c r="O50" s="244"/>
    </row>
    <row r="51">
      <c r="A51" s="32"/>
      <c r="B51" s="32"/>
      <c r="C51" s="93" t="s">
        <v>161</v>
      </c>
      <c r="D51" s="10"/>
      <c r="E51" s="10"/>
      <c r="F51" s="17"/>
      <c r="G51" s="248"/>
      <c r="H51" s="260"/>
      <c r="I51" s="244"/>
      <c r="J51" s="248"/>
      <c r="K51" s="260"/>
      <c r="L51" s="244"/>
      <c r="M51" s="248"/>
      <c r="N51" s="260"/>
      <c r="O51" s="244"/>
    </row>
    <row r="52">
      <c r="A52" s="32"/>
      <c r="B52" s="32"/>
      <c r="C52" s="93" t="s">
        <v>162</v>
      </c>
      <c r="D52" s="10"/>
      <c r="E52" s="10"/>
      <c r="F52" s="223"/>
      <c r="G52" s="279" t="s">
        <v>394</v>
      </c>
      <c r="H52" s="244"/>
      <c r="I52" s="244"/>
      <c r="J52" s="248"/>
      <c r="K52" s="244"/>
      <c r="L52" s="244"/>
      <c r="M52" s="248"/>
      <c r="N52" s="244"/>
      <c r="O52" s="279" t="s">
        <v>394</v>
      </c>
    </row>
    <row r="53">
      <c r="A53" s="32"/>
      <c r="B53" s="32"/>
      <c r="C53" s="106" t="s">
        <v>164</v>
      </c>
      <c r="D53" s="10"/>
      <c r="E53" s="10"/>
      <c r="F53" s="224" t="s">
        <v>165</v>
      </c>
      <c r="G53" s="248" t="s">
        <v>24</v>
      </c>
      <c r="H53" s="244"/>
      <c r="I53" s="244"/>
      <c r="J53" s="248"/>
      <c r="K53" s="244"/>
      <c r="L53" s="244"/>
      <c r="M53" s="248"/>
      <c r="N53" s="244"/>
      <c r="O53" s="244"/>
    </row>
    <row r="54">
      <c r="A54" s="32"/>
      <c r="B54" s="32"/>
      <c r="C54" s="106" t="s">
        <v>166</v>
      </c>
      <c r="D54" s="10"/>
      <c r="E54" s="10"/>
      <c r="F54" s="212" t="s">
        <v>167</v>
      </c>
      <c r="G54" s="248" t="s">
        <v>24</v>
      </c>
      <c r="H54" s="260"/>
      <c r="I54" s="244"/>
      <c r="J54" s="248"/>
      <c r="K54" s="260"/>
      <c r="L54" s="244"/>
      <c r="M54" s="248"/>
      <c r="N54" s="260"/>
      <c r="O54" s="244"/>
    </row>
    <row r="55">
      <c r="A55" s="32"/>
      <c r="B55" s="37"/>
      <c r="C55" s="93" t="s">
        <v>168</v>
      </c>
      <c r="D55" s="10"/>
      <c r="E55" s="10"/>
      <c r="F55" s="17"/>
      <c r="G55" s="248"/>
      <c r="H55" s="263"/>
      <c r="I55" s="244"/>
      <c r="J55" s="248"/>
      <c r="K55" s="263"/>
      <c r="L55" s="244"/>
      <c r="M55" s="248"/>
      <c r="N55" s="263"/>
      <c r="O55" s="244"/>
    </row>
    <row r="56">
      <c r="A56" s="32"/>
      <c r="B56" s="115" t="s">
        <v>169</v>
      </c>
      <c r="C56" s="85" t="s">
        <v>141</v>
      </c>
      <c r="D56" s="10"/>
      <c r="E56" s="10"/>
      <c r="F56" s="213" t="s">
        <v>170</v>
      </c>
      <c r="G56" s="244" t="s">
        <v>24</v>
      </c>
      <c r="H56" s="244"/>
      <c r="I56" s="244"/>
      <c r="J56" s="244"/>
      <c r="K56" s="244"/>
      <c r="L56" s="244"/>
      <c r="M56" s="244"/>
      <c r="N56" s="244"/>
      <c r="O56" s="244"/>
    </row>
    <row r="57">
      <c r="A57" s="32"/>
      <c r="B57" s="32"/>
      <c r="C57" s="85" t="s">
        <v>171</v>
      </c>
      <c r="D57" s="10"/>
      <c r="E57" s="10"/>
      <c r="F57" s="17"/>
      <c r="G57" s="244" t="s">
        <v>24</v>
      </c>
      <c r="H57" s="244"/>
      <c r="I57" s="244"/>
      <c r="J57" s="244"/>
      <c r="K57" s="244"/>
      <c r="L57" s="244"/>
      <c r="M57" s="244"/>
      <c r="N57" s="244"/>
      <c r="O57" s="244"/>
    </row>
    <row r="58">
      <c r="A58" s="32"/>
      <c r="B58" s="32"/>
      <c r="C58" s="116" t="s">
        <v>315</v>
      </c>
      <c r="D58" s="10"/>
      <c r="E58" s="10"/>
      <c r="F58" s="225" t="s">
        <v>176</v>
      </c>
      <c r="G58" s="244" t="s">
        <v>24</v>
      </c>
      <c r="H58" s="260"/>
      <c r="I58" s="244"/>
      <c r="J58" s="244"/>
      <c r="K58" s="260"/>
      <c r="L58" s="244"/>
      <c r="M58" s="244"/>
      <c r="N58" s="260"/>
      <c r="O58" s="244"/>
    </row>
    <row r="59">
      <c r="A59" s="32"/>
      <c r="B59" s="37"/>
      <c r="C59" s="77" t="s">
        <v>177</v>
      </c>
      <c r="D59" s="10"/>
      <c r="E59" s="10"/>
      <c r="F59" s="17"/>
      <c r="G59" s="248" t="s">
        <v>24</v>
      </c>
      <c r="H59" s="260"/>
      <c r="I59" s="244"/>
      <c r="J59" s="248"/>
      <c r="K59" s="260"/>
      <c r="L59" s="244"/>
      <c r="M59" s="248"/>
      <c r="N59" s="260"/>
      <c r="O59" s="244"/>
    </row>
    <row r="60">
      <c r="A60" s="32"/>
      <c r="B60" s="102" t="s">
        <v>178</v>
      </c>
      <c r="C60" s="93" t="s">
        <v>179</v>
      </c>
      <c r="D60" s="10"/>
      <c r="E60" s="10"/>
      <c r="F60" s="17"/>
      <c r="G60" s="248" t="s">
        <v>24</v>
      </c>
      <c r="H60" s="260"/>
      <c r="I60" s="244"/>
      <c r="J60" s="248"/>
      <c r="K60" s="260"/>
      <c r="L60" s="244"/>
      <c r="M60" s="248"/>
      <c r="N60" s="260"/>
      <c r="O60" s="244"/>
    </row>
    <row r="61">
      <c r="A61" s="32"/>
      <c r="B61" s="32"/>
      <c r="C61" s="93" t="s">
        <v>141</v>
      </c>
      <c r="D61" s="10"/>
      <c r="E61" s="10"/>
      <c r="F61" s="17"/>
      <c r="G61" s="248" t="s">
        <v>24</v>
      </c>
      <c r="H61" s="263"/>
      <c r="I61" s="244"/>
      <c r="J61" s="248"/>
      <c r="K61" s="263"/>
      <c r="L61" s="244"/>
      <c r="M61" s="248"/>
      <c r="N61" s="263"/>
      <c r="O61" s="244"/>
    </row>
    <row r="62">
      <c r="A62" s="32"/>
      <c r="B62" s="32"/>
      <c r="C62" s="106" t="s">
        <v>181</v>
      </c>
      <c r="D62" s="10"/>
      <c r="E62" s="10"/>
      <c r="F62" s="213" t="s">
        <v>182</v>
      </c>
      <c r="G62" s="248"/>
      <c r="H62" s="244"/>
      <c r="I62" s="244"/>
      <c r="J62" s="248"/>
      <c r="K62" s="244"/>
      <c r="L62" s="244"/>
      <c r="M62" s="248"/>
      <c r="N62" s="244"/>
      <c r="O62" s="244"/>
    </row>
    <row r="63">
      <c r="A63" s="32"/>
      <c r="B63" s="32"/>
      <c r="C63" s="93" t="s">
        <v>183</v>
      </c>
      <c r="D63" s="10"/>
      <c r="E63" s="10"/>
      <c r="F63" s="17"/>
      <c r="G63" s="248" t="s">
        <v>24</v>
      </c>
      <c r="H63" s="244"/>
      <c r="I63" s="244"/>
      <c r="J63" s="248"/>
      <c r="K63" s="244"/>
      <c r="L63" s="244"/>
      <c r="M63" s="248"/>
      <c r="N63" s="244"/>
      <c r="O63" s="244"/>
    </row>
    <row r="64">
      <c r="A64" s="32"/>
      <c r="B64" s="32"/>
      <c r="C64" s="93" t="s">
        <v>184</v>
      </c>
      <c r="D64" s="10"/>
      <c r="E64" s="10"/>
      <c r="F64" s="17"/>
      <c r="G64" s="248" t="s">
        <v>24</v>
      </c>
      <c r="H64" s="244"/>
      <c r="I64" s="244"/>
      <c r="J64" s="248"/>
      <c r="K64" s="244"/>
      <c r="L64" s="244"/>
      <c r="M64" s="248"/>
      <c r="N64" s="244"/>
      <c r="O64" s="244"/>
    </row>
    <row r="65">
      <c r="A65" s="32"/>
      <c r="B65" s="32"/>
      <c r="C65" s="106" t="s">
        <v>185</v>
      </c>
      <c r="D65" s="10"/>
      <c r="E65" s="10"/>
      <c r="F65" s="213" t="s">
        <v>186</v>
      </c>
      <c r="G65" s="248" t="s">
        <v>24</v>
      </c>
      <c r="H65" s="244"/>
      <c r="I65" s="244"/>
      <c r="J65" s="248"/>
      <c r="K65" s="244"/>
      <c r="L65" s="244"/>
      <c r="M65" s="248"/>
      <c r="N65" s="244"/>
      <c r="O65" s="244"/>
    </row>
    <row r="66">
      <c r="A66" s="32"/>
      <c r="B66" s="32"/>
      <c r="C66" s="87" t="s">
        <v>187</v>
      </c>
      <c r="D66" s="10"/>
      <c r="E66" s="10"/>
      <c r="F66" s="17"/>
      <c r="G66" s="248" t="s">
        <v>24</v>
      </c>
      <c r="H66" s="244"/>
      <c r="I66" s="244"/>
      <c r="J66" s="248"/>
      <c r="K66" s="244"/>
      <c r="L66" s="244"/>
      <c r="M66" s="248"/>
      <c r="N66" s="244"/>
      <c r="O66" s="244"/>
    </row>
    <row r="67">
      <c r="A67" s="32"/>
      <c r="B67" s="32"/>
      <c r="C67" s="87" t="s">
        <v>188</v>
      </c>
      <c r="D67" s="10"/>
      <c r="E67" s="10"/>
      <c r="F67" s="212" t="s">
        <v>189</v>
      </c>
      <c r="G67" s="248" t="s">
        <v>24</v>
      </c>
      <c r="H67" s="244"/>
      <c r="I67" s="244"/>
      <c r="J67" s="248"/>
      <c r="K67" s="244"/>
      <c r="L67" s="244"/>
      <c r="M67" s="248"/>
      <c r="N67" s="244"/>
      <c r="O67" s="244"/>
    </row>
    <row r="68">
      <c r="A68" s="32"/>
      <c r="B68" s="32"/>
      <c r="C68" s="77" t="s">
        <v>190</v>
      </c>
      <c r="D68" s="10"/>
      <c r="E68" s="10"/>
      <c r="F68" s="17"/>
      <c r="G68" s="248" t="s">
        <v>24</v>
      </c>
      <c r="H68" s="265"/>
      <c r="I68" s="244"/>
      <c r="J68" s="248"/>
      <c r="K68" s="265"/>
      <c r="L68" s="244"/>
      <c r="M68" s="248"/>
      <c r="N68" s="265"/>
      <c r="O68" s="244"/>
    </row>
    <row r="69">
      <c r="A69" s="32"/>
      <c r="B69" s="32"/>
      <c r="C69" s="106" t="s">
        <v>425</v>
      </c>
      <c r="D69" s="10"/>
      <c r="E69" s="10"/>
      <c r="F69" s="213" t="s">
        <v>192</v>
      </c>
      <c r="G69" s="248" t="s">
        <v>24</v>
      </c>
      <c r="H69" s="260"/>
      <c r="I69" s="244"/>
      <c r="J69" s="248"/>
      <c r="K69" s="260"/>
      <c r="L69" s="244"/>
      <c r="M69" s="248"/>
      <c r="N69" s="260"/>
      <c r="O69" s="244"/>
    </row>
    <row r="70">
      <c r="A70" s="32"/>
      <c r="B70" s="32"/>
      <c r="C70" s="106" t="s">
        <v>193</v>
      </c>
      <c r="D70" s="10"/>
      <c r="E70" s="10"/>
      <c r="F70" s="17"/>
      <c r="G70" s="248" t="s">
        <v>24</v>
      </c>
      <c r="H70" s="260"/>
      <c r="I70" s="244"/>
      <c r="J70" s="248"/>
      <c r="K70" s="260"/>
      <c r="L70" s="244"/>
      <c r="M70" s="248"/>
      <c r="N70" s="260"/>
      <c r="O70" s="244"/>
    </row>
    <row r="71">
      <c r="A71" s="32"/>
      <c r="B71" s="32"/>
      <c r="C71" s="93" t="s">
        <v>194</v>
      </c>
      <c r="D71" s="10"/>
      <c r="E71" s="10"/>
      <c r="F71" s="17"/>
      <c r="G71" s="248" t="s">
        <v>24</v>
      </c>
      <c r="H71" s="260"/>
      <c r="I71" s="244"/>
      <c r="J71" s="248"/>
      <c r="K71" s="260"/>
      <c r="L71" s="244"/>
      <c r="M71" s="248"/>
      <c r="N71" s="260"/>
      <c r="O71" s="244"/>
    </row>
    <row r="72">
      <c r="A72" s="32"/>
      <c r="B72" s="32"/>
      <c r="C72" s="103" t="s">
        <v>195</v>
      </c>
      <c r="D72" s="10"/>
      <c r="E72" s="10"/>
      <c r="F72" s="213" t="s">
        <v>196</v>
      </c>
      <c r="G72" s="248"/>
      <c r="H72" s="244"/>
      <c r="I72" s="244"/>
      <c r="J72" s="248"/>
      <c r="K72" s="244"/>
      <c r="L72" s="244"/>
      <c r="M72" s="248"/>
      <c r="N72" s="244"/>
      <c r="O72" s="244"/>
    </row>
    <row r="73">
      <c r="A73" s="32"/>
      <c r="B73" s="32"/>
      <c r="C73" s="93" t="s">
        <v>197</v>
      </c>
      <c r="D73" s="10"/>
      <c r="E73" s="10"/>
      <c r="F73" s="213" t="s">
        <v>196</v>
      </c>
      <c r="G73" s="248"/>
      <c r="H73" s="244"/>
      <c r="I73" s="244"/>
      <c r="J73" s="248"/>
      <c r="K73" s="244"/>
      <c r="L73" s="244"/>
      <c r="M73" s="248"/>
      <c r="N73" s="244"/>
      <c r="O73" s="244"/>
    </row>
    <row r="74">
      <c r="A74" s="32"/>
      <c r="B74" s="32"/>
      <c r="C74" s="226" t="s">
        <v>198</v>
      </c>
      <c r="D74" s="10"/>
      <c r="E74" s="10"/>
      <c r="F74" s="213" t="s">
        <v>196</v>
      </c>
      <c r="G74" s="248"/>
      <c r="H74" s="244"/>
      <c r="I74" s="244"/>
      <c r="J74" s="248"/>
      <c r="K74" s="244"/>
      <c r="L74" s="244"/>
      <c r="M74" s="248"/>
      <c r="N74" s="244"/>
      <c r="O74" s="244"/>
    </row>
    <row r="75">
      <c r="A75" s="32"/>
      <c r="B75" s="32"/>
      <c r="C75" s="118" t="s">
        <v>199</v>
      </c>
      <c r="D75" s="10"/>
      <c r="E75" s="10"/>
      <c r="F75" s="212" t="s">
        <v>200</v>
      </c>
      <c r="G75" s="244"/>
      <c r="H75" s="244"/>
      <c r="I75" s="244"/>
      <c r="J75" s="244"/>
      <c r="K75" s="244"/>
      <c r="L75" s="244"/>
      <c r="M75" s="244"/>
      <c r="N75" s="244"/>
      <c r="O75" s="244"/>
    </row>
    <row r="76">
      <c r="A76" s="32"/>
      <c r="B76" s="32"/>
      <c r="C76" s="227" t="s">
        <v>201</v>
      </c>
      <c r="D76" s="10"/>
      <c r="E76" s="10"/>
      <c r="F76" s="213" t="s">
        <v>202</v>
      </c>
      <c r="G76" s="248"/>
      <c r="H76" s="260"/>
      <c r="I76" s="244"/>
      <c r="J76" s="248"/>
      <c r="K76" s="260"/>
      <c r="L76" s="244"/>
      <c r="M76" s="248"/>
      <c r="N76" s="260"/>
      <c r="O76" s="244"/>
    </row>
    <row r="77">
      <c r="A77" s="32"/>
      <c r="B77" s="32"/>
      <c r="C77" s="119" t="s">
        <v>203</v>
      </c>
      <c r="D77" s="10"/>
      <c r="E77" s="10"/>
      <c r="F77" s="213" t="s">
        <v>124</v>
      </c>
      <c r="G77" s="280" t="s">
        <v>410</v>
      </c>
      <c r="H77" s="244"/>
      <c r="I77" s="244"/>
      <c r="J77" s="248"/>
      <c r="K77" s="244"/>
      <c r="L77" s="244"/>
      <c r="M77" s="248"/>
      <c r="N77" s="244"/>
      <c r="O77" s="286" t="s">
        <v>426</v>
      </c>
    </row>
    <row r="78">
      <c r="A78" s="32"/>
      <c r="B78" s="32"/>
      <c r="C78" s="120" t="s">
        <v>316</v>
      </c>
      <c r="D78" s="10"/>
      <c r="E78" s="10"/>
      <c r="F78" s="213" t="s">
        <v>124</v>
      </c>
      <c r="G78" s="248" t="s">
        <v>24</v>
      </c>
      <c r="H78" s="259"/>
      <c r="I78" s="244"/>
      <c r="J78" s="248"/>
      <c r="K78" s="259"/>
      <c r="L78" s="244"/>
      <c r="M78" s="248"/>
      <c r="N78" s="259"/>
      <c r="O78" s="286" t="s">
        <v>427</v>
      </c>
    </row>
    <row r="79">
      <c r="A79" s="32"/>
      <c r="B79" s="37"/>
      <c r="C79" s="121" t="s">
        <v>205</v>
      </c>
      <c r="D79" s="245" t="s">
        <v>206</v>
      </c>
      <c r="E79" s="10"/>
      <c r="F79" s="213" t="s">
        <v>207</v>
      </c>
      <c r="G79" s="248" t="s">
        <v>24</v>
      </c>
      <c r="H79" s="244"/>
      <c r="I79" s="244"/>
      <c r="J79" s="248"/>
      <c r="K79" s="244"/>
      <c r="L79" s="244"/>
      <c r="M79" s="248"/>
      <c r="N79" s="244"/>
      <c r="O79" s="244"/>
    </row>
    <row r="80">
      <c r="A80" s="32"/>
      <c r="B80" s="102" t="s">
        <v>208</v>
      </c>
      <c r="C80" s="106" t="s">
        <v>209</v>
      </c>
      <c r="D80" s="10"/>
      <c r="E80" s="10"/>
      <c r="F80" s="17"/>
      <c r="G80" s="248" t="s">
        <v>24</v>
      </c>
      <c r="H80" s="244"/>
      <c r="I80" s="244"/>
      <c r="J80" s="248"/>
      <c r="K80" s="244" t="s">
        <v>24</v>
      </c>
      <c r="L80" s="244"/>
      <c r="M80" s="248"/>
      <c r="N80" s="244"/>
      <c r="O80" s="244" t="s">
        <v>24</v>
      </c>
    </row>
    <row r="81">
      <c r="A81" s="32"/>
      <c r="B81" s="32"/>
      <c r="C81" s="123" t="s">
        <v>210</v>
      </c>
      <c r="D81" s="10"/>
      <c r="E81" s="10"/>
      <c r="F81" s="213" t="s">
        <v>211</v>
      </c>
      <c r="G81" s="248" t="s">
        <v>24</v>
      </c>
      <c r="H81" s="244"/>
      <c r="I81" s="244"/>
      <c r="J81" s="248"/>
      <c r="K81" s="244" t="s">
        <v>24</v>
      </c>
      <c r="L81" s="244"/>
      <c r="M81" s="248"/>
      <c r="N81" s="244"/>
      <c r="O81" s="244" t="s">
        <v>24</v>
      </c>
    </row>
    <row r="82">
      <c r="A82" s="32"/>
      <c r="B82" s="32"/>
      <c r="C82" s="124" t="s">
        <v>212</v>
      </c>
      <c r="D82" s="10"/>
      <c r="E82" s="10"/>
      <c r="F82" s="17"/>
      <c r="G82" s="248" t="s">
        <v>24</v>
      </c>
      <c r="H82" s="244"/>
      <c r="I82" s="244"/>
      <c r="J82" s="248"/>
      <c r="K82" s="244" t="s">
        <v>24</v>
      </c>
      <c r="L82" s="244"/>
      <c r="M82" s="248"/>
      <c r="N82" s="244"/>
      <c r="O82" s="244" t="s">
        <v>24</v>
      </c>
    </row>
    <row r="83">
      <c r="A83" s="32"/>
      <c r="B83" s="32"/>
      <c r="C83" s="125" t="s">
        <v>213</v>
      </c>
      <c r="D83" s="10"/>
      <c r="E83" s="10"/>
      <c r="F83" s="17"/>
      <c r="G83" s="248" t="s">
        <v>24</v>
      </c>
      <c r="H83" s="244"/>
      <c r="I83" s="244"/>
      <c r="J83" s="248"/>
      <c r="K83" s="244" t="s">
        <v>24</v>
      </c>
      <c r="L83" s="244"/>
      <c r="M83" s="248"/>
      <c r="N83" s="244"/>
      <c r="O83" s="244" t="s">
        <v>24</v>
      </c>
    </row>
    <row r="84">
      <c r="A84" s="32"/>
      <c r="B84" s="37"/>
      <c r="C84" s="124" t="s">
        <v>214</v>
      </c>
      <c r="D84" s="10"/>
      <c r="E84" s="10"/>
      <c r="F84" s="17"/>
      <c r="G84" s="248" t="s">
        <v>24</v>
      </c>
      <c r="H84" s="260"/>
      <c r="I84" s="244"/>
      <c r="J84" s="248"/>
      <c r="K84" s="260" t="s">
        <v>24</v>
      </c>
      <c r="L84" s="244"/>
      <c r="M84" s="248"/>
      <c r="N84" s="260"/>
      <c r="O84" s="244" t="s">
        <v>24</v>
      </c>
    </row>
    <row r="85">
      <c r="A85" s="32"/>
      <c r="B85" s="115" t="s">
        <v>217</v>
      </c>
      <c r="C85" s="124" t="s">
        <v>218</v>
      </c>
      <c r="D85" s="10"/>
      <c r="E85" s="10"/>
      <c r="F85" s="17"/>
      <c r="G85" s="248" t="s">
        <v>24</v>
      </c>
      <c r="H85" s="244"/>
      <c r="I85" s="244"/>
      <c r="J85" s="248"/>
      <c r="K85" s="244"/>
      <c r="L85" s="244"/>
      <c r="M85" s="248"/>
      <c r="N85" s="244"/>
      <c r="O85" s="244" t="s">
        <v>24</v>
      </c>
    </row>
    <row r="86">
      <c r="A86" s="32"/>
      <c r="B86" s="32"/>
      <c r="C86" s="124" t="s">
        <v>220</v>
      </c>
      <c r="D86" s="10"/>
      <c r="E86" s="10"/>
      <c r="F86" s="17"/>
      <c r="G86" s="248" t="s">
        <v>24</v>
      </c>
      <c r="H86" s="258"/>
      <c r="I86" s="244"/>
      <c r="J86" s="248"/>
      <c r="K86" s="258"/>
      <c r="L86" s="244"/>
      <c r="M86" s="248"/>
      <c r="N86" s="258"/>
      <c r="O86" s="244" t="s">
        <v>24</v>
      </c>
    </row>
    <row r="87">
      <c r="A87" s="32"/>
      <c r="B87" s="32"/>
      <c r="C87" s="129" t="s">
        <v>221</v>
      </c>
      <c r="D87" s="10"/>
      <c r="E87" s="10"/>
      <c r="F87" s="213" t="s">
        <v>222</v>
      </c>
      <c r="G87" s="248" t="s">
        <v>24</v>
      </c>
      <c r="H87" s="260"/>
      <c r="I87" s="244"/>
      <c r="J87" s="248"/>
      <c r="K87" s="260"/>
      <c r="L87" s="244"/>
      <c r="M87" s="248"/>
      <c r="N87" s="260"/>
      <c r="O87" s="286" t="s">
        <v>428</v>
      </c>
    </row>
    <row r="88">
      <c r="A88" s="32"/>
      <c r="B88" s="37"/>
      <c r="C88" s="124" t="s">
        <v>223</v>
      </c>
      <c r="D88" s="10"/>
      <c r="E88" s="10"/>
      <c r="F88" s="213" t="s">
        <v>224</v>
      </c>
      <c r="G88" s="244" t="s">
        <v>24</v>
      </c>
      <c r="H88" s="260"/>
      <c r="I88" s="244"/>
      <c r="J88" s="244"/>
      <c r="K88" s="260"/>
      <c r="L88" s="244"/>
      <c r="M88" s="244"/>
      <c r="N88" s="260"/>
      <c r="O88" s="244"/>
    </row>
    <row r="89">
      <c r="A89" s="32"/>
      <c r="B89" s="102" t="s">
        <v>244</v>
      </c>
      <c r="C89" s="106" t="s">
        <v>245</v>
      </c>
      <c r="D89" s="10"/>
      <c r="E89" s="245" t="s">
        <v>248</v>
      </c>
      <c r="F89" s="237" t="s">
        <v>411</v>
      </c>
      <c r="G89" s="285" t="s">
        <v>412</v>
      </c>
      <c r="H89" s="260"/>
      <c r="I89" s="244"/>
      <c r="J89" s="248"/>
      <c r="K89" s="260"/>
      <c r="L89" s="244"/>
      <c r="M89" s="248"/>
      <c r="N89" s="260"/>
      <c r="O89" s="285" t="s">
        <v>412</v>
      </c>
    </row>
    <row r="90">
      <c r="A90" s="32"/>
      <c r="B90" s="32"/>
      <c r="C90" s="123" t="s">
        <v>247</v>
      </c>
      <c r="D90" s="10"/>
      <c r="E90" s="245" t="s">
        <v>248</v>
      </c>
      <c r="F90" s="213" t="s">
        <v>207</v>
      </c>
      <c r="G90" s="248" t="s">
        <v>24</v>
      </c>
      <c r="H90" s="244"/>
      <c r="I90" s="244"/>
      <c r="J90" s="248"/>
      <c r="K90" s="244"/>
      <c r="L90" s="244"/>
      <c r="M90" s="248"/>
      <c r="N90" s="244"/>
      <c r="O90" s="244"/>
    </row>
    <row r="91">
      <c r="A91" s="32"/>
      <c r="B91" s="32"/>
      <c r="C91" s="123" t="s">
        <v>249</v>
      </c>
      <c r="D91" s="10"/>
      <c r="E91" s="10"/>
      <c r="F91" s="213" t="s">
        <v>250</v>
      </c>
      <c r="G91" s="248" t="s">
        <v>24</v>
      </c>
      <c r="H91" s="260"/>
      <c r="I91" s="244"/>
      <c r="J91" s="248"/>
      <c r="K91" s="260"/>
      <c r="L91" s="244"/>
      <c r="M91" s="248"/>
      <c r="N91" s="260"/>
      <c r="O91" s="244"/>
    </row>
    <row r="92">
      <c r="A92" s="32"/>
      <c r="B92" s="32"/>
      <c r="C92" s="103" t="s">
        <v>251</v>
      </c>
      <c r="D92" s="10"/>
      <c r="E92" s="10"/>
      <c r="F92" s="213" t="s">
        <v>252</v>
      </c>
      <c r="G92" s="244" t="s">
        <v>24</v>
      </c>
      <c r="H92" s="244"/>
      <c r="I92" s="244"/>
      <c r="J92" s="244"/>
      <c r="K92" s="244"/>
      <c r="L92" s="244"/>
      <c r="M92" s="244"/>
      <c r="N92" s="244"/>
      <c r="O92" s="244"/>
    </row>
    <row r="93">
      <c r="A93" s="32"/>
      <c r="B93" s="32"/>
      <c r="C93" s="106" t="s">
        <v>253</v>
      </c>
      <c r="D93" s="10"/>
      <c r="E93" s="10"/>
      <c r="F93" s="213" t="s">
        <v>254</v>
      </c>
      <c r="G93" s="244" t="s">
        <v>24</v>
      </c>
      <c r="H93" s="244"/>
      <c r="I93" s="287"/>
      <c r="J93" s="244"/>
      <c r="K93" s="244"/>
      <c r="L93" s="287"/>
      <c r="M93" s="244"/>
      <c r="N93" s="244"/>
      <c r="O93" s="287"/>
    </row>
    <row r="94">
      <c r="A94" s="32"/>
      <c r="B94" s="32"/>
      <c r="C94" s="106" t="s">
        <v>255</v>
      </c>
      <c r="D94" s="10"/>
      <c r="E94" s="10"/>
      <c r="F94" s="213" t="s">
        <v>256</v>
      </c>
      <c r="G94" s="279" t="s">
        <v>413</v>
      </c>
      <c r="H94" s="258"/>
      <c r="I94" s="244"/>
      <c r="J94" s="258"/>
      <c r="K94" s="258"/>
      <c r="L94" s="244"/>
      <c r="M94" s="258"/>
      <c r="N94" s="258"/>
      <c r="O94" s="279" t="s">
        <v>413</v>
      </c>
    </row>
    <row r="95">
      <c r="A95" s="32"/>
      <c r="B95" s="32"/>
      <c r="C95" s="93" t="s">
        <v>257</v>
      </c>
      <c r="D95" s="10"/>
      <c r="E95" s="10"/>
      <c r="F95" s="17"/>
      <c r="G95" s="248" t="s">
        <v>24</v>
      </c>
      <c r="H95" s="244"/>
      <c r="I95" s="288"/>
      <c r="J95" s="248"/>
      <c r="K95" s="244"/>
      <c r="L95" s="288"/>
      <c r="M95" s="248"/>
      <c r="N95" s="244"/>
      <c r="O95" s="288"/>
    </row>
    <row r="96">
      <c r="A96" s="32"/>
      <c r="B96" s="32"/>
      <c r="C96" s="93" t="s">
        <v>258</v>
      </c>
      <c r="D96" s="10"/>
      <c r="E96" s="10"/>
      <c r="F96" s="213" t="s">
        <v>259</v>
      </c>
      <c r="G96" s="248" t="s">
        <v>24</v>
      </c>
      <c r="H96" s="244"/>
      <c r="I96" s="244"/>
      <c r="J96" s="248"/>
      <c r="K96" s="244"/>
      <c r="L96" s="244"/>
      <c r="M96" s="248"/>
      <c r="N96" s="244"/>
      <c r="O96" s="279" t="s">
        <v>429</v>
      </c>
    </row>
    <row r="97">
      <c r="A97" s="32"/>
      <c r="B97" s="32"/>
      <c r="C97" s="238" t="s">
        <v>260</v>
      </c>
      <c r="D97" s="10"/>
      <c r="E97" s="10"/>
      <c r="F97" s="17"/>
      <c r="G97" s="279" t="s">
        <v>414</v>
      </c>
      <c r="H97" s="244"/>
      <c r="I97" s="244"/>
      <c r="J97" s="248"/>
      <c r="K97" s="244"/>
      <c r="L97" s="244"/>
      <c r="M97" s="248"/>
      <c r="N97" s="244"/>
      <c r="O97" s="279" t="s">
        <v>414</v>
      </c>
    </row>
    <row r="98">
      <c r="A98" s="32"/>
      <c r="B98" s="37"/>
      <c r="C98" s="238" t="s">
        <v>263</v>
      </c>
      <c r="D98" s="10"/>
      <c r="E98" s="10"/>
      <c r="F98" s="17"/>
      <c r="G98" s="248" t="s">
        <v>24</v>
      </c>
      <c r="H98" s="244"/>
      <c r="I98" s="244"/>
      <c r="J98" s="248"/>
      <c r="K98" s="244"/>
      <c r="L98" s="244"/>
      <c r="M98" s="248"/>
      <c r="N98" s="244"/>
      <c r="O98" s="244"/>
    </row>
    <row r="99">
      <c r="A99" s="32"/>
      <c r="B99" s="141" t="s">
        <v>264</v>
      </c>
      <c r="C99" s="142" t="s">
        <v>265</v>
      </c>
      <c r="E99" s="245" t="s">
        <v>266</v>
      </c>
      <c r="F99" s="240"/>
      <c r="G99" s="248"/>
      <c r="H99" s="260"/>
      <c r="I99" s="244"/>
      <c r="J99" s="248"/>
      <c r="K99" s="260"/>
      <c r="L99" s="244"/>
      <c r="M99" s="248"/>
      <c r="N99" s="260"/>
      <c r="O99" s="244"/>
    </row>
    <row r="100">
      <c r="A100" s="37"/>
      <c r="B100" s="37"/>
      <c r="C100" s="148" t="s">
        <v>274</v>
      </c>
      <c r="D100" s="10"/>
      <c r="F100" s="241" t="s">
        <v>275</v>
      </c>
      <c r="G100" s="248" t="s">
        <v>24</v>
      </c>
      <c r="H100" s="244"/>
      <c r="I100" s="244"/>
      <c r="J100" s="248"/>
      <c r="K100" s="244"/>
      <c r="L100" s="244"/>
      <c r="M100" s="248"/>
      <c r="N100" s="244"/>
      <c r="O100" s="244" t="s">
        <v>24</v>
      </c>
    </row>
    <row r="101">
      <c r="A101" s="154"/>
      <c r="B101" s="154">
        <v>101.0</v>
      </c>
      <c r="C101" s="154" t="s">
        <v>430</v>
      </c>
      <c r="D101" s="154"/>
      <c r="E101" s="154"/>
      <c r="F101" s="142" t="s">
        <v>276</v>
      </c>
      <c r="G101" s="200">
        <v>87.0</v>
      </c>
      <c r="H101" s="200">
        <v>0.0</v>
      </c>
      <c r="I101" s="200">
        <v>0.0</v>
      </c>
      <c r="J101" s="200">
        <v>0.0</v>
      </c>
      <c r="K101" s="200">
        <v>8.0</v>
      </c>
      <c r="L101" s="200">
        <v>0.0</v>
      </c>
      <c r="M101" s="200">
        <v>0.0</v>
      </c>
      <c r="N101" s="200">
        <v>0.0</v>
      </c>
      <c r="O101" s="200">
        <v>41.0</v>
      </c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>
      <c r="A106" s="79" t="s">
        <v>431</v>
      </c>
      <c r="B106" s="152"/>
      <c r="C106" s="152"/>
      <c r="D106" s="153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>
      <c r="A107" s="154"/>
      <c r="B107" s="155" t="s">
        <v>5</v>
      </c>
      <c r="C107" s="155" t="s">
        <v>277</v>
      </c>
      <c r="D107" s="155" t="s">
        <v>7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>
      <c r="A108" s="155" t="s">
        <v>278</v>
      </c>
      <c r="B108" s="154">
        <v>64.0</v>
      </c>
      <c r="C108" s="154">
        <v>0.0</v>
      </c>
      <c r="D108" s="154">
        <v>0.0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>
      <c r="A109" s="155" t="s">
        <v>279</v>
      </c>
      <c r="B109" s="154">
        <v>14.0</v>
      </c>
      <c r="C109" s="154">
        <v>0.0</v>
      </c>
      <c r="D109" s="154">
        <v>0.0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>
      <c r="A110" s="155" t="s">
        <v>280</v>
      </c>
      <c r="B110" s="154">
        <v>0.0</v>
      </c>
      <c r="C110" s="154">
        <v>0.0</v>
      </c>
      <c r="D110" s="154">
        <v>0.0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>
      <c r="A111" s="155" t="s">
        <v>281</v>
      </c>
      <c r="B111" s="154">
        <v>11.0</v>
      </c>
      <c r="C111" s="154">
        <v>0.0</v>
      </c>
      <c r="D111" s="154">
        <v>0.0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>
      <c r="A114" s="156" t="s">
        <v>282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>
      <c r="A115" s="157" t="s">
        <v>8</v>
      </c>
      <c r="B115" s="158"/>
      <c r="C115" s="158"/>
      <c r="D115" s="158"/>
      <c r="E115" s="157" t="s">
        <v>283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>
      <c r="A116" s="159" t="s">
        <v>284</v>
      </c>
      <c r="B116" s="158"/>
      <c r="C116" s="158"/>
      <c r="D116" s="158"/>
      <c r="E116" s="160" t="s">
        <v>24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>
      <c r="A117" s="161" t="s">
        <v>285</v>
      </c>
      <c r="B117" s="158"/>
      <c r="C117" s="158"/>
      <c r="D117" s="158"/>
      <c r="E117" s="162" t="s">
        <v>12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>
      <c r="A118" s="163" t="s">
        <v>286</v>
      </c>
      <c r="B118" s="158"/>
      <c r="C118" s="158"/>
      <c r="D118" s="158"/>
      <c r="E118" s="164" t="s">
        <v>287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>
      <c r="A119" s="165" t="s">
        <v>288</v>
      </c>
      <c r="B119" s="158"/>
      <c r="C119" s="158"/>
      <c r="D119" s="158"/>
      <c r="E119" s="166" t="s">
        <v>10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>
      <c r="A120" s="167" t="s">
        <v>289</v>
      </c>
      <c r="B120" s="158"/>
      <c r="C120" s="158"/>
      <c r="D120" s="158"/>
      <c r="E120" s="168" t="s">
        <v>290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>
      <c r="A121" s="169" t="s">
        <v>291</v>
      </c>
      <c r="B121" s="158"/>
      <c r="C121" s="158"/>
      <c r="D121" s="158"/>
      <c r="E121" s="170" t="s">
        <v>292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>
      <c r="A122" s="171" t="s">
        <v>293</v>
      </c>
      <c r="B122" s="158"/>
      <c r="C122" s="158"/>
      <c r="D122" s="158"/>
      <c r="E122" s="172" t="s">
        <v>294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>
      <c r="A123" s="173" t="s">
        <v>295</v>
      </c>
      <c r="B123" s="158"/>
      <c r="C123" s="158"/>
      <c r="D123" s="158"/>
      <c r="E123" s="174" t="s">
        <v>11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>
      <c r="A124" s="175" t="s">
        <v>296</v>
      </c>
      <c r="B124" s="158"/>
      <c r="C124" s="158"/>
      <c r="D124" s="158"/>
      <c r="E124" s="176" t="s">
        <v>12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>
      <c r="A125" s="177" t="s">
        <v>297</v>
      </c>
      <c r="B125" s="158"/>
      <c r="C125" s="158"/>
      <c r="D125" s="158"/>
      <c r="E125" s="158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>
      <c r="A126" s="178" t="s">
        <v>298</v>
      </c>
      <c r="B126" s="158"/>
      <c r="C126" s="158"/>
      <c r="D126" s="158"/>
      <c r="E126" s="158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>
      <c r="A127" s="179" t="s">
        <v>299</v>
      </c>
      <c r="B127" s="158"/>
      <c r="C127" s="158"/>
      <c r="D127" s="158"/>
      <c r="E127" s="158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>
      <c r="A128" s="180" t="s">
        <v>300</v>
      </c>
      <c r="B128" s="158"/>
      <c r="C128" s="158"/>
      <c r="D128" s="158"/>
      <c r="E128" s="158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>
      <c r="A129" s="181" t="s">
        <v>301</v>
      </c>
      <c r="B129" s="158"/>
      <c r="C129" s="158"/>
      <c r="D129" s="158"/>
      <c r="E129" s="158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</sheetData>
  <mergeCells count="17">
    <mergeCell ref="B24:B40"/>
    <mergeCell ref="B41:B55"/>
    <mergeCell ref="B56:B59"/>
    <mergeCell ref="B60:B79"/>
    <mergeCell ref="B80:B84"/>
    <mergeCell ref="B85:B88"/>
    <mergeCell ref="B89:B98"/>
    <mergeCell ref="B99:B100"/>
    <mergeCell ref="A106:D106"/>
    <mergeCell ref="A114:E114"/>
    <mergeCell ref="G1:I1"/>
    <mergeCell ref="J1:L1"/>
    <mergeCell ref="M1:O1"/>
    <mergeCell ref="A6:A23"/>
    <mergeCell ref="B6:B20"/>
    <mergeCell ref="B21:B23"/>
    <mergeCell ref="A24:A100"/>
  </mergeCells>
  <conditionalFormatting sqref="B3:D3 G4:O4">
    <cfRule type="cellIs" dxfId="14" priority="1" stopIfTrue="1" operator="equal">
      <formula>"Anu"</formula>
    </cfRule>
  </conditionalFormatting>
  <conditionalFormatting sqref="B3:D3 G4:O4">
    <cfRule type="cellIs" dxfId="0" priority="2" stopIfTrue="1" operator="equal">
      <formula>"Amrita"</formula>
    </cfRule>
  </conditionalFormatting>
  <conditionalFormatting sqref="B3:D3 G4:O4">
    <cfRule type="cellIs" dxfId="1" priority="3" stopIfTrue="1" operator="equal">
      <formula>"Soumya"</formula>
    </cfRule>
  </conditionalFormatting>
  <conditionalFormatting sqref="B3:D3 G4:O4">
    <cfRule type="cellIs" dxfId="2" priority="4" stopIfTrue="1" operator="equal">
      <formula>"Hannah"</formula>
    </cfRule>
  </conditionalFormatting>
  <conditionalFormatting sqref="B3:D3 G4:O4">
    <cfRule type="cellIs" dxfId="4" priority="5" stopIfTrue="1" operator="equal">
      <formula>"Nitin"</formula>
    </cfRule>
  </conditionalFormatting>
  <conditionalFormatting sqref="B3:D3 G4:O4">
    <cfRule type="cellIs" dxfId="15" priority="6" stopIfTrue="1" operator="equal">
      <formula>"Pankhuri"</formula>
    </cfRule>
  </conditionalFormatting>
  <conditionalFormatting sqref="B3:D3 G4:O4">
    <cfRule type="cellIs" dxfId="5" priority="7" stopIfTrue="1" operator="equal">
      <formula>"Ramakrishna"</formula>
    </cfRule>
  </conditionalFormatting>
  <conditionalFormatting sqref="B3:D3 G4:O4">
    <cfRule type="cellIs" dxfId="6" priority="8" stopIfTrue="1" operator="equal">
      <formula>"Abdul"</formula>
    </cfRule>
  </conditionalFormatting>
  <conditionalFormatting sqref="B3:D3 G4:O4">
    <cfRule type="cellIs" dxfId="7" priority="9" stopIfTrue="1" operator="equal">
      <formula>"Saheli"</formula>
    </cfRule>
  </conditionalFormatting>
  <conditionalFormatting sqref="B3:D3 G4:O4">
    <cfRule type="cellIs" dxfId="8" priority="10" stopIfTrue="1" operator="equal">
      <formula>"Matt"</formula>
    </cfRule>
  </conditionalFormatting>
  <conditionalFormatting sqref="B3:D3 G4:O4">
    <cfRule type="cellIs" dxfId="9" priority="11" stopIfTrue="1" operator="equal">
      <formula>"Vishnu"</formula>
    </cfRule>
  </conditionalFormatting>
  <conditionalFormatting sqref="B3:D3 G4:O4">
    <cfRule type="cellIs" dxfId="10" priority="12" stopIfTrue="1" operator="equal">
      <formula>"Ivy"</formula>
    </cfRule>
  </conditionalFormatting>
  <conditionalFormatting sqref="B3:D3 G4:O4">
    <cfRule type="cellIs" dxfId="11" priority="13" stopIfTrue="1" operator="equal">
      <formula>"Rupal"</formula>
    </cfRule>
  </conditionalFormatting>
  <conditionalFormatting sqref="B3:D3 G4:O4">
    <cfRule type="cellIs" dxfId="25" priority="14" stopIfTrue="1" operator="equal">
      <formula>"Utkarsh"</formula>
    </cfRule>
  </conditionalFormatting>
  <conditionalFormatting sqref="G6:O100">
    <cfRule type="cellIs" dxfId="16" priority="15" stopIfTrue="1" operator="equal">
      <formula>"OK"</formula>
    </cfRule>
  </conditionalFormatting>
  <conditionalFormatting sqref="B3:D3 G4:O4 G6:O100">
    <cfRule type="cellIs" dxfId="18" priority="16" stopIfTrue="1" operator="equal">
      <formula>"Not Tested"</formula>
    </cfRule>
  </conditionalFormatting>
  <conditionalFormatting sqref="G6:O100">
    <cfRule type="cellIs" dxfId="19" priority="17" stopIfTrue="1" operator="equal">
      <formula>"N/A"</formula>
    </cfRule>
  </conditionalFormatting>
  <conditionalFormatting sqref="B2:D2 G3:O3">
    <cfRule type="containsText" dxfId="20" priority="18" stopIfTrue="1" operator="containsText" text="Incomplete">
      <formula>NOT(ISERROR(SEARCH(("Incomplete"),(B2))))</formula>
    </cfRule>
  </conditionalFormatting>
  <conditionalFormatting sqref="B2:D2 G3:O3">
    <cfRule type="containsText" dxfId="17" priority="19" stopIfTrue="1" operator="containsText" text="Broken">
      <formula>NOT(ISERROR(SEARCH(("Broken"),(B2))))</formula>
    </cfRule>
  </conditionalFormatting>
  <conditionalFormatting sqref="B2:D2 G3:O3">
    <cfRule type="containsText" dxfId="21" priority="20" stopIfTrue="1" operator="containsText" text="Some problems">
      <formula>NOT(ISERROR(SEARCH(("Some problems"),(B2))))</formula>
    </cfRule>
  </conditionalFormatting>
  <conditionalFormatting sqref="B2:D2 G3:O3">
    <cfRule type="containsText" dxfId="22" priority="21" stopIfTrue="1" operator="containsText" text="All OK">
      <formula>NOT(ISERROR(SEARCH(("All OK"),(B2))))</formula>
    </cfRule>
  </conditionalFormatting>
  <conditionalFormatting sqref="B2:D2 G3:O3">
    <cfRule type="containsText" dxfId="23" priority="22" stopIfTrue="1" operator="containsText" text="In Progress">
      <formula>NOT(ISERROR(SEARCH(("In Progress"),(B2))))</formula>
    </cfRule>
  </conditionalFormatting>
  <conditionalFormatting sqref="B2:D2 G3:O3">
    <cfRule type="containsText" dxfId="24" priority="23" stopIfTrue="1" operator="containsText" text="Not Tested">
      <formula>NOT(ISERROR(SEARCH(("Not Tested"),(B2))))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432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432</v>
      </c>
      <c r="H1" s="6"/>
      <c r="I1" s="7"/>
      <c r="J1" s="5" t="s">
        <v>433</v>
      </c>
      <c r="K1" s="6"/>
      <c r="L1" s="7"/>
      <c r="M1" s="5" t="s">
        <v>434</v>
      </c>
      <c r="N1" s="6"/>
      <c r="O1" s="7"/>
      <c r="P1" s="5" t="s">
        <v>435</v>
      </c>
      <c r="Q1" s="6"/>
      <c r="R1" s="7"/>
    </row>
    <row r="2">
      <c r="A2" s="8"/>
      <c r="B2" s="9" t="s">
        <v>10</v>
      </c>
      <c r="C2" s="9" t="s">
        <v>10</v>
      </c>
      <c r="D2" s="9" t="s">
        <v>436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  <c r="P2" s="12" t="s">
        <v>5</v>
      </c>
      <c r="Q2" s="12" t="s">
        <v>6</v>
      </c>
      <c r="R2" s="12" t="s">
        <v>7</v>
      </c>
    </row>
    <row r="3">
      <c r="A3" s="13" t="s">
        <v>8</v>
      </c>
      <c r="B3" s="9" t="s">
        <v>12</v>
      </c>
      <c r="C3" s="9" t="s">
        <v>12</v>
      </c>
      <c r="D3" s="9" t="s">
        <v>297</v>
      </c>
      <c r="E3" s="10"/>
      <c r="F3" s="14" t="s">
        <v>9</v>
      </c>
      <c r="G3" s="15" t="s">
        <v>10</v>
      </c>
      <c r="H3" s="15" t="s">
        <v>10</v>
      </c>
      <c r="I3" s="15" t="s">
        <v>292</v>
      </c>
      <c r="J3" s="15" t="s">
        <v>11</v>
      </c>
      <c r="K3" s="15" t="s">
        <v>10</v>
      </c>
      <c r="L3" s="15" t="s">
        <v>10</v>
      </c>
      <c r="M3" s="15" t="s">
        <v>10</v>
      </c>
      <c r="N3" s="15" t="s">
        <v>292</v>
      </c>
      <c r="O3" s="15" t="s">
        <v>10</v>
      </c>
      <c r="P3" s="15" t="s">
        <v>10</v>
      </c>
      <c r="Q3" s="15" t="s">
        <v>10</v>
      </c>
      <c r="R3" s="15" t="s">
        <v>292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12</v>
      </c>
      <c r="I4" s="15" t="s">
        <v>297</v>
      </c>
      <c r="J4" s="15" t="s">
        <v>301</v>
      </c>
      <c r="K4" s="15" t="s">
        <v>12</v>
      </c>
      <c r="L4" s="15" t="s">
        <v>12</v>
      </c>
      <c r="M4" s="15" t="s">
        <v>12</v>
      </c>
      <c r="N4" s="15" t="s">
        <v>297</v>
      </c>
      <c r="O4" s="15" t="s">
        <v>12</v>
      </c>
      <c r="P4" s="15" t="s">
        <v>12</v>
      </c>
      <c r="Q4" s="15" t="s">
        <v>12</v>
      </c>
      <c r="R4" s="15" t="s">
        <v>297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  <c r="M5" s="21"/>
      <c r="N5" s="21"/>
      <c r="O5" s="22"/>
      <c r="P5" s="21"/>
      <c r="Q5" s="21"/>
      <c r="R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48"/>
      <c r="H6" s="260"/>
      <c r="I6" s="244" t="s">
        <v>24</v>
      </c>
      <c r="J6" s="248" t="s">
        <v>24</v>
      </c>
      <c r="K6" s="260"/>
      <c r="L6" s="244"/>
      <c r="M6" s="248"/>
      <c r="N6" s="260" t="s">
        <v>24</v>
      </c>
      <c r="O6" s="244"/>
      <c r="P6" s="248"/>
      <c r="Q6" s="260"/>
      <c r="R6" s="244"/>
    </row>
    <row r="7">
      <c r="A7" s="32"/>
      <c r="B7" s="32"/>
      <c r="C7" s="142" t="s">
        <v>421</v>
      </c>
      <c r="D7" s="10"/>
      <c r="E7" s="245" t="s">
        <v>96</v>
      </c>
      <c r="F7" s="17"/>
      <c r="G7" s="248"/>
      <c r="H7" s="259"/>
      <c r="I7" s="244"/>
      <c r="J7" s="248" t="s">
        <v>24</v>
      </c>
      <c r="K7" s="259"/>
      <c r="L7" s="244"/>
      <c r="M7" s="248"/>
      <c r="N7" s="259" t="s">
        <v>24</v>
      </c>
      <c r="O7" s="244"/>
      <c r="P7" s="248"/>
      <c r="Q7" s="259"/>
      <c r="R7" s="244"/>
    </row>
    <row r="8">
      <c r="A8" s="32"/>
      <c r="B8" s="32"/>
      <c r="C8" s="91" t="s">
        <v>345</v>
      </c>
      <c r="D8" s="10"/>
      <c r="E8" s="247" t="s">
        <v>383</v>
      </c>
      <c r="F8" s="17"/>
      <c r="G8" s="248"/>
      <c r="H8" s="259"/>
      <c r="I8" s="244" t="s">
        <v>24</v>
      </c>
      <c r="J8" s="248" t="s">
        <v>24</v>
      </c>
      <c r="K8" s="259"/>
      <c r="L8" s="244"/>
      <c r="M8" s="248"/>
      <c r="N8" s="259" t="s">
        <v>24</v>
      </c>
      <c r="O8" s="244"/>
      <c r="P8" s="248"/>
      <c r="Q8" s="259"/>
      <c r="R8" s="244" t="s">
        <v>24</v>
      </c>
    </row>
    <row r="9">
      <c r="A9" s="32"/>
      <c r="B9" s="32"/>
      <c r="C9" s="91" t="s">
        <v>347</v>
      </c>
      <c r="D9" s="10"/>
      <c r="E9" s="249" t="s">
        <v>308</v>
      </c>
      <c r="F9" s="17"/>
      <c r="G9" s="244"/>
      <c r="H9" s="260"/>
      <c r="I9" s="244" t="s">
        <v>24</v>
      </c>
      <c r="J9" s="244" t="s">
        <v>24</v>
      </c>
      <c r="K9" s="260"/>
      <c r="L9" s="244"/>
      <c r="M9" s="244"/>
      <c r="N9" s="260" t="s">
        <v>24</v>
      </c>
      <c r="O9" s="244"/>
      <c r="P9" s="244"/>
      <c r="Q9" s="260"/>
      <c r="R9" s="244" t="s">
        <v>24</v>
      </c>
    </row>
    <row r="10">
      <c r="A10" s="32"/>
      <c r="B10" s="32"/>
      <c r="C10" s="87" t="s">
        <v>348</v>
      </c>
      <c r="D10" s="10"/>
      <c r="E10" s="245" t="s">
        <v>77</v>
      </c>
      <c r="F10" s="17"/>
      <c r="G10" s="248"/>
      <c r="H10" s="260"/>
      <c r="I10" s="244" t="s">
        <v>24</v>
      </c>
      <c r="J10" s="248" t="s">
        <v>24</v>
      </c>
      <c r="K10" s="260"/>
      <c r="L10" s="244"/>
      <c r="M10" s="248"/>
      <c r="N10" s="260" t="s">
        <v>24</v>
      </c>
      <c r="O10" s="244"/>
      <c r="P10" s="248"/>
      <c r="Q10" s="260"/>
      <c r="R10" s="244"/>
    </row>
    <row r="11">
      <c r="A11" s="32"/>
      <c r="B11" s="32"/>
      <c r="C11" s="87" t="s">
        <v>349</v>
      </c>
      <c r="D11" s="10"/>
      <c r="E11" s="245" t="s">
        <v>100</v>
      </c>
      <c r="F11" s="17"/>
      <c r="G11" s="248"/>
      <c r="H11" s="260"/>
      <c r="I11" s="244" t="s">
        <v>24</v>
      </c>
      <c r="J11" s="248" t="s">
        <v>24</v>
      </c>
      <c r="K11" s="260"/>
      <c r="L11" s="244"/>
      <c r="M11" s="248"/>
      <c r="N11" s="260" t="s">
        <v>24</v>
      </c>
      <c r="O11" s="244"/>
      <c r="P11" s="248"/>
      <c r="Q11" s="260"/>
      <c r="R11" s="244"/>
    </row>
    <row r="12">
      <c r="A12" s="32"/>
      <c r="B12" s="32"/>
      <c r="C12" s="87" t="s">
        <v>350</v>
      </c>
      <c r="D12" s="10"/>
      <c r="E12" s="10"/>
      <c r="F12" s="212" t="s">
        <v>351</v>
      </c>
      <c r="G12" s="248"/>
      <c r="H12" s="260"/>
      <c r="I12" s="244" t="s">
        <v>24</v>
      </c>
      <c r="J12" s="248" t="s">
        <v>24</v>
      </c>
      <c r="K12" s="260"/>
      <c r="L12" s="244"/>
      <c r="M12" s="248"/>
      <c r="N12" s="260" t="s">
        <v>24</v>
      </c>
      <c r="O12" s="244"/>
      <c r="P12" s="248"/>
      <c r="Q12" s="260"/>
      <c r="R12" s="244"/>
    </row>
    <row r="13">
      <c r="A13" s="32"/>
      <c r="B13" s="32"/>
      <c r="C13" s="87" t="s">
        <v>352</v>
      </c>
      <c r="D13" s="10"/>
      <c r="E13" s="10"/>
      <c r="F13" s="213"/>
      <c r="G13" s="248"/>
      <c r="H13" s="260"/>
      <c r="I13" s="279" t="s">
        <v>422</v>
      </c>
      <c r="J13" s="248"/>
      <c r="K13" s="260"/>
      <c r="L13" s="244"/>
      <c r="M13" s="248"/>
      <c r="N13" s="260"/>
      <c r="O13" s="244"/>
      <c r="P13" s="248"/>
      <c r="Q13" s="260"/>
      <c r="R13" s="244"/>
    </row>
    <row r="14">
      <c r="A14" s="32"/>
      <c r="B14" s="32"/>
      <c r="C14" s="77" t="s">
        <v>354</v>
      </c>
      <c r="D14" s="10"/>
      <c r="E14" s="10"/>
      <c r="F14" s="213" t="s">
        <v>83</v>
      </c>
      <c r="G14" s="248"/>
      <c r="H14" s="260"/>
      <c r="I14" s="244" t="s">
        <v>24</v>
      </c>
      <c r="J14" s="248" t="s">
        <v>24</v>
      </c>
      <c r="K14" s="260"/>
      <c r="L14" s="244"/>
      <c r="M14" s="248"/>
      <c r="N14" s="260" t="s">
        <v>24</v>
      </c>
      <c r="O14" s="244"/>
      <c r="P14" s="248"/>
      <c r="Q14" s="260"/>
      <c r="R14" s="244"/>
    </row>
    <row r="15">
      <c r="A15" s="32"/>
      <c r="B15" s="32"/>
      <c r="C15" s="214" t="s">
        <v>355</v>
      </c>
      <c r="D15" s="10"/>
      <c r="E15" s="245" t="s">
        <v>34</v>
      </c>
      <c r="F15" s="17"/>
      <c r="G15" s="248"/>
      <c r="H15" s="259"/>
      <c r="I15" s="244" t="s">
        <v>24</v>
      </c>
      <c r="J15" s="248" t="s">
        <v>24</v>
      </c>
      <c r="K15" s="259"/>
      <c r="L15" s="244"/>
      <c r="M15" s="248"/>
      <c r="N15" s="259" t="s">
        <v>24</v>
      </c>
      <c r="O15" s="244"/>
      <c r="P15" s="248"/>
      <c r="Q15" s="259"/>
      <c r="R15" s="244"/>
    </row>
    <row r="16">
      <c r="A16" s="32"/>
      <c r="B16" s="32"/>
      <c r="C16" s="77" t="s">
        <v>357</v>
      </c>
      <c r="D16" s="10"/>
      <c r="E16" s="245" t="s">
        <v>34</v>
      </c>
      <c r="F16" s="17"/>
      <c r="G16" s="248"/>
      <c r="H16" s="260"/>
      <c r="I16" s="244" t="s">
        <v>24</v>
      </c>
      <c r="J16" s="248" t="s">
        <v>24</v>
      </c>
      <c r="K16" s="260"/>
      <c r="L16" s="244"/>
      <c r="M16" s="248"/>
      <c r="N16" s="260" t="s">
        <v>24</v>
      </c>
      <c r="O16" s="244"/>
      <c r="P16" s="248"/>
      <c r="Q16" s="260"/>
      <c r="R16" s="244"/>
    </row>
    <row r="17">
      <c r="A17" s="32"/>
      <c r="B17" s="37"/>
      <c r="C17" s="77" t="s">
        <v>396</v>
      </c>
      <c r="D17" s="10"/>
      <c r="E17" s="245" t="s">
        <v>100</v>
      </c>
      <c r="F17" s="213" t="s">
        <v>103</v>
      </c>
      <c r="G17" s="251"/>
      <c r="H17" s="251"/>
      <c r="I17" s="244" t="s">
        <v>24</v>
      </c>
      <c r="J17" s="251" t="s">
        <v>24</v>
      </c>
      <c r="K17" s="251"/>
      <c r="L17" s="244"/>
      <c r="M17" s="251"/>
      <c r="N17" s="251" t="s">
        <v>24</v>
      </c>
      <c r="O17" s="244"/>
      <c r="P17" s="251"/>
      <c r="Q17" s="251"/>
      <c r="R17" s="244"/>
    </row>
    <row r="18">
      <c r="A18" s="32"/>
      <c r="B18" s="216" t="s">
        <v>362</v>
      </c>
      <c r="C18" s="204" t="s">
        <v>363</v>
      </c>
      <c r="D18" s="10"/>
      <c r="E18" s="10"/>
      <c r="F18" s="213" t="s">
        <v>364</v>
      </c>
      <c r="G18" s="244"/>
      <c r="H18" s="258"/>
      <c r="I18" s="244" t="s">
        <v>24</v>
      </c>
      <c r="J18" s="244" t="s">
        <v>24</v>
      </c>
      <c r="K18" s="258"/>
      <c r="L18" s="244"/>
      <c r="M18" s="244"/>
      <c r="N18" s="258" t="s">
        <v>24</v>
      </c>
      <c r="O18" s="244"/>
      <c r="P18" s="244"/>
      <c r="Q18" s="258"/>
      <c r="R18" s="244"/>
    </row>
    <row r="19">
      <c r="A19" s="32"/>
      <c r="B19" s="32"/>
      <c r="C19" s="204" t="s">
        <v>365</v>
      </c>
      <c r="D19" s="10"/>
      <c r="E19" s="10"/>
      <c r="F19" s="212" t="s">
        <v>105</v>
      </c>
      <c r="G19" s="248"/>
      <c r="H19" s="258"/>
      <c r="I19" s="244" t="s">
        <v>24</v>
      </c>
      <c r="J19" s="248" t="s">
        <v>24</v>
      </c>
      <c r="K19" s="258"/>
      <c r="L19" s="244"/>
      <c r="M19" s="248"/>
      <c r="N19" s="289" t="s">
        <v>437</v>
      </c>
      <c r="O19" s="244"/>
      <c r="P19" s="248"/>
      <c r="Q19" s="260"/>
      <c r="R19" s="244"/>
    </row>
    <row r="20">
      <c r="A20" s="32"/>
      <c r="B20" s="37"/>
      <c r="C20" s="217" t="s">
        <v>366</v>
      </c>
      <c r="D20" s="10"/>
      <c r="E20" s="10"/>
      <c r="F20" s="212" t="s">
        <v>107</v>
      </c>
      <c r="G20" s="248"/>
      <c r="H20" s="260"/>
      <c r="I20" s="244" t="s">
        <v>24</v>
      </c>
      <c r="J20" s="248" t="s">
        <v>24</v>
      </c>
      <c r="K20" s="260"/>
      <c r="L20" s="244"/>
      <c r="M20" s="248"/>
      <c r="N20" s="260" t="s">
        <v>24</v>
      </c>
      <c r="O20" s="244"/>
      <c r="P20" s="248"/>
      <c r="Q20" s="260"/>
      <c r="R20" s="244"/>
    </row>
    <row r="21">
      <c r="A21" s="203" t="s">
        <v>108</v>
      </c>
      <c r="B21" s="102" t="s">
        <v>109</v>
      </c>
      <c r="C21" s="77" t="s">
        <v>110</v>
      </c>
      <c r="D21" s="10"/>
      <c r="E21" s="10"/>
      <c r="F21" s="17"/>
      <c r="G21" s="248"/>
      <c r="H21" s="260"/>
      <c r="I21" s="244" t="s">
        <v>24</v>
      </c>
      <c r="J21" s="248" t="s">
        <v>24</v>
      </c>
      <c r="K21" s="260"/>
      <c r="L21" s="244"/>
      <c r="M21" s="248"/>
      <c r="N21" s="260" t="s">
        <v>24</v>
      </c>
      <c r="O21" s="244"/>
      <c r="P21" s="248"/>
      <c r="Q21" s="260"/>
      <c r="R21" s="244"/>
    </row>
    <row r="22">
      <c r="A22" s="32"/>
      <c r="B22" s="32"/>
      <c r="C22" s="77" t="s">
        <v>112</v>
      </c>
      <c r="D22" s="10"/>
      <c r="E22" s="10"/>
      <c r="F22" s="17"/>
      <c r="G22" s="248"/>
      <c r="H22" s="262"/>
      <c r="I22" s="244" t="s">
        <v>24</v>
      </c>
      <c r="J22" s="248" t="s">
        <v>24</v>
      </c>
      <c r="K22" s="262"/>
      <c r="L22" s="244"/>
      <c r="M22" s="248"/>
      <c r="N22" s="262" t="s">
        <v>24</v>
      </c>
      <c r="O22" s="244"/>
      <c r="P22" s="248"/>
      <c r="Q22" s="262"/>
      <c r="R22" s="244"/>
    </row>
    <row r="23">
      <c r="A23" s="32"/>
      <c r="B23" s="32"/>
      <c r="C23" s="83" t="s">
        <v>114</v>
      </c>
      <c r="D23" s="10"/>
      <c r="E23" s="243" t="s">
        <v>115</v>
      </c>
      <c r="F23" s="17"/>
      <c r="G23" s="248"/>
      <c r="H23" s="260"/>
      <c r="I23" s="244" t="s">
        <v>24</v>
      </c>
      <c r="J23" s="248" t="s">
        <v>24</v>
      </c>
      <c r="K23" s="260"/>
      <c r="L23" s="244"/>
      <c r="M23" s="248"/>
      <c r="N23" s="260" t="s">
        <v>24</v>
      </c>
      <c r="O23" s="244"/>
      <c r="P23" s="248"/>
      <c r="Q23" s="260"/>
      <c r="R23" s="244"/>
    </row>
    <row r="24">
      <c r="A24" s="32"/>
      <c r="B24" s="32"/>
      <c r="C24" s="85" t="s">
        <v>116</v>
      </c>
      <c r="D24" s="10"/>
      <c r="E24" s="10"/>
      <c r="F24" s="213" t="s">
        <v>117</v>
      </c>
      <c r="G24" s="248"/>
      <c r="H24" s="244"/>
      <c r="I24" s="244" t="s">
        <v>24</v>
      </c>
      <c r="J24" s="248" t="s">
        <v>24</v>
      </c>
      <c r="K24" s="244"/>
      <c r="L24" s="244"/>
      <c r="M24" s="248"/>
      <c r="N24" s="279" t="s">
        <v>438</v>
      </c>
      <c r="O24" s="244"/>
      <c r="P24" s="248"/>
      <c r="Q24" s="260"/>
      <c r="R24" s="279" t="s">
        <v>438</v>
      </c>
    </row>
    <row r="25">
      <c r="A25" s="32"/>
      <c r="B25" s="32"/>
      <c r="C25" s="87" t="s">
        <v>118</v>
      </c>
      <c r="D25" s="10"/>
      <c r="E25" s="252" t="s">
        <v>386</v>
      </c>
      <c r="F25" s="213"/>
      <c r="G25" s="248"/>
      <c r="H25" s="260"/>
      <c r="I25" s="244" t="s">
        <v>24</v>
      </c>
      <c r="J25" s="248" t="s">
        <v>24</v>
      </c>
      <c r="K25" s="260"/>
      <c r="L25" s="244"/>
      <c r="M25" s="248"/>
      <c r="N25" s="260" t="s">
        <v>24</v>
      </c>
      <c r="O25" s="244"/>
      <c r="P25" s="248"/>
      <c r="Q25" s="260"/>
      <c r="R25" s="244"/>
    </row>
    <row r="26">
      <c r="A26" s="32"/>
      <c r="B26" s="32"/>
      <c r="C26" s="90" t="s">
        <v>120</v>
      </c>
      <c r="D26" s="10"/>
      <c r="E26" s="252" t="s">
        <v>121</v>
      </c>
      <c r="F26" s="213" t="s">
        <v>122</v>
      </c>
      <c r="G26" s="248"/>
      <c r="H26" s="260"/>
      <c r="I26" s="244" t="s">
        <v>24</v>
      </c>
      <c r="J26" s="248" t="s">
        <v>24</v>
      </c>
      <c r="K26" s="260"/>
      <c r="L26" s="244"/>
      <c r="M26" s="248"/>
      <c r="N26" s="260" t="s">
        <v>24</v>
      </c>
      <c r="O26" s="244"/>
      <c r="P26" s="248"/>
      <c r="Q26" s="260"/>
      <c r="R26" s="244"/>
    </row>
    <row r="27">
      <c r="A27" s="32"/>
      <c r="B27" s="32"/>
      <c r="C27" s="91" t="s">
        <v>123</v>
      </c>
      <c r="D27" s="10"/>
      <c r="E27" s="10"/>
      <c r="F27" s="213" t="s">
        <v>124</v>
      </c>
      <c r="G27" s="246"/>
      <c r="H27" s="258"/>
      <c r="I27" s="280" t="s">
        <v>439</v>
      </c>
      <c r="J27" s="246" t="s">
        <v>439</v>
      </c>
      <c r="K27" s="258"/>
      <c r="L27" s="244"/>
      <c r="M27" s="248"/>
      <c r="N27" s="258" t="s">
        <v>24</v>
      </c>
      <c r="O27" s="244"/>
      <c r="P27" s="248"/>
      <c r="Q27" s="258"/>
      <c r="R27" s="244" t="s">
        <v>24</v>
      </c>
    </row>
    <row r="28">
      <c r="A28" s="32"/>
      <c r="B28" s="32"/>
      <c r="C28" s="92" t="s">
        <v>125</v>
      </c>
      <c r="D28" s="10"/>
      <c r="E28" s="10"/>
      <c r="F28" s="213" t="s">
        <v>126</v>
      </c>
      <c r="G28" s="248"/>
      <c r="H28" s="244"/>
      <c r="I28" s="244" t="s">
        <v>24</v>
      </c>
      <c r="J28" s="248" t="s">
        <v>24</v>
      </c>
      <c r="K28" s="244"/>
      <c r="L28" s="244"/>
      <c r="M28" s="248"/>
      <c r="N28" s="244" t="s">
        <v>24</v>
      </c>
      <c r="O28" s="244"/>
      <c r="P28" s="248"/>
      <c r="Q28" s="244"/>
      <c r="R28" s="244" t="s">
        <v>24</v>
      </c>
    </row>
    <row r="29">
      <c r="A29" s="32"/>
      <c r="B29" s="32"/>
      <c r="C29" s="77" t="s">
        <v>127</v>
      </c>
      <c r="D29" s="10"/>
      <c r="E29" s="10"/>
      <c r="F29" s="213" t="s">
        <v>128</v>
      </c>
      <c r="G29" s="248"/>
      <c r="H29" s="258"/>
      <c r="I29" s="244" t="s">
        <v>24</v>
      </c>
      <c r="J29" s="248" t="s">
        <v>24</v>
      </c>
      <c r="K29" s="258"/>
      <c r="L29" s="244"/>
      <c r="M29" s="248"/>
      <c r="N29" s="258" t="s">
        <v>24</v>
      </c>
      <c r="O29" s="244"/>
      <c r="P29" s="248"/>
      <c r="Q29" s="258"/>
      <c r="R29" s="244" t="s">
        <v>24</v>
      </c>
    </row>
    <row r="30">
      <c r="A30" s="32"/>
      <c r="B30" s="32"/>
      <c r="C30" s="93" t="s">
        <v>129</v>
      </c>
      <c r="D30" s="10"/>
      <c r="E30" s="245" t="s">
        <v>313</v>
      </c>
      <c r="F30" s="17"/>
      <c r="G30" s="244"/>
      <c r="H30" s="258"/>
      <c r="I30" s="244" t="s">
        <v>24</v>
      </c>
      <c r="J30" s="244" t="s">
        <v>24</v>
      </c>
      <c r="K30" s="258"/>
      <c r="L30" s="244"/>
      <c r="M30" s="244"/>
      <c r="N30" s="258" t="s">
        <v>24</v>
      </c>
      <c r="O30" s="244"/>
      <c r="P30" s="244"/>
      <c r="Q30" s="258"/>
      <c r="R30" s="244" t="s">
        <v>24</v>
      </c>
    </row>
    <row r="31">
      <c r="A31" s="32"/>
      <c r="B31" s="32"/>
      <c r="C31" s="92" t="s">
        <v>368</v>
      </c>
      <c r="D31" s="10"/>
      <c r="E31" s="10"/>
      <c r="F31" s="17"/>
      <c r="G31" s="248"/>
      <c r="H31" s="260"/>
      <c r="I31" s="244" t="s">
        <v>24</v>
      </c>
      <c r="J31" s="248" t="s">
        <v>24</v>
      </c>
      <c r="K31" s="260"/>
      <c r="L31" s="244"/>
      <c r="M31" s="248"/>
      <c r="N31" s="260" t="s">
        <v>24</v>
      </c>
      <c r="O31" s="244"/>
      <c r="P31" s="248"/>
      <c r="Q31" s="260"/>
      <c r="R31" s="244" t="s">
        <v>24</v>
      </c>
    </row>
    <row r="32">
      <c r="A32" s="32"/>
      <c r="B32" s="32"/>
      <c r="C32" s="98" t="s">
        <v>134</v>
      </c>
      <c r="D32" s="10"/>
      <c r="E32" s="10"/>
      <c r="F32" s="221" t="s">
        <v>136</v>
      </c>
      <c r="G32" s="244"/>
      <c r="H32" s="260"/>
      <c r="I32" s="244" t="s">
        <v>24</v>
      </c>
      <c r="J32" s="244" t="s">
        <v>24</v>
      </c>
      <c r="K32" s="260"/>
      <c r="L32" s="244"/>
      <c r="M32" s="244"/>
      <c r="N32" s="260" t="s">
        <v>24</v>
      </c>
      <c r="O32" s="244"/>
      <c r="P32" s="244"/>
      <c r="Q32" s="260"/>
      <c r="R32" s="244" t="s">
        <v>24</v>
      </c>
    </row>
    <row r="33">
      <c r="A33" s="32"/>
      <c r="B33" s="32"/>
      <c r="C33" s="92" t="s">
        <v>137</v>
      </c>
      <c r="D33" s="10"/>
      <c r="E33" s="10"/>
      <c r="F33" s="17"/>
      <c r="G33" s="248"/>
      <c r="H33" s="259"/>
      <c r="I33" s="244" t="s">
        <v>24</v>
      </c>
      <c r="J33" s="248" t="s">
        <v>24</v>
      </c>
      <c r="K33" s="259"/>
      <c r="L33" s="244"/>
      <c r="M33" s="248"/>
      <c r="N33" s="259" t="s">
        <v>24</v>
      </c>
      <c r="O33" s="244"/>
      <c r="P33" s="248"/>
      <c r="Q33" s="259"/>
      <c r="R33" s="244"/>
    </row>
    <row r="34">
      <c r="A34" s="32"/>
      <c r="B34" s="32"/>
      <c r="C34" s="92" t="s">
        <v>138</v>
      </c>
      <c r="D34" s="10"/>
      <c r="E34" s="10"/>
      <c r="F34" s="17"/>
      <c r="G34" s="248"/>
      <c r="H34" s="260"/>
      <c r="I34" s="244" t="s">
        <v>24</v>
      </c>
      <c r="J34" s="248" t="s">
        <v>24</v>
      </c>
      <c r="K34" s="260"/>
      <c r="L34" s="244"/>
      <c r="M34" s="248"/>
      <c r="N34" s="260" t="s">
        <v>24</v>
      </c>
      <c r="O34" s="244"/>
      <c r="P34" s="248"/>
      <c r="Q34" s="260"/>
      <c r="R34" s="244"/>
    </row>
    <row r="35">
      <c r="A35" s="32"/>
      <c r="B35" s="37"/>
      <c r="C35" s="101" t="s">
        <v>139</v>
      </c>
      <c r="D35" s="10"/>
      <c r="E35" s="10"/>
      <c r="F35" s="17"/>
      <c r="G35" s="248"/>
      <c r="H35" s="260"/>
      <c r="I35" s="244" t="s">
        <v>24</v>
      </c>
      <c r="J35" s="248" t="s">
        <v>24</v>
      </c>
      <c r="K35" s="260"/>
      <c r="L35" s="244"/>
      <c r="M35" s="248"/>
      <c r="N35" s="260" t="s">
        <v>24</v>
      </c>
      <c r="O35" s="244"/>
      <c r="P35" s="248"/>
      <c r="Q35" s="260"/>
      <c r="R35" s="244"/>
    </row>
    <row r="36">
      <c r="A36" s="32"/>
      <c r="B36" s="102" t="s">
        <v>140</v>
      </c>
      <c r="C36" s="103" t="s">
        <v>141</v>
      </c>
      <c r="D36" s="245"/>
      <c r="E36" s="245" t="s">
        <v>388</v>
      </c>
      <c r="F36" s="17"/>
      <c r="G36" s="244"/>
      <c r="H36" s="244"/>
      <c r="I36" s="244" t="s">
        <v>24</v>
      </c>
      <c r="J36" s="244" t="s">
        <v>24</v>
      </c>
      <c r="K36" s="244"/>
      <c r="L36" s="244"/>
      <c r="M36" s="244"/>
      <c r="N36" s="286" t="s">
        <v>440</v>
      </c>
      <c r="O36" s="244"/>
      <c r="P36" s="244"/>
      <c r="Q36" s="260"/>
      <c r="R36" s="286" t="s">
        <v>440</v>
      </c>
    </row>
    <row r="37">
      <c r="A37" s="32"/>
      <c r="B37" s="32"/>
      <c r="C37" s="106" t="s">
        <v>145</v>
      </c>
      <c r="D37" s="10"/>
      <c r="E37" s="10"/>
      <c r="F37" s="213"/>
      <c r="G37" s="244"/>
      <c r="H37" s="244"/>
      <c r="I37" s="244" t="s">
        <v>24</v>
      </c>
      <c r="J37" s="244" t="s">
        <v>24</v>
      </c>
      <c r="K37" s="244"/>
      <c r="L37" s="244"/>
      <c r="M37" s="248"/>
      <c r="N37" s="286" t="s">
        <v>440</v>
      </c>
      <c r="O37" s="244"/>
      <c r="P37" s="248"/>
      <c r="Q37" s="260"/>
      <c r="R37" s="286" t="s">
        <v>440</v>
      </c>
    </row>
    <row r="38">
      <c r="A38" s="32"/>
      <c r="B38" s="32"/>
      <c r="C38" s="93" t="s">
        <v>146</v>
      </c>
      <c r="D38" s="10"/>
      <c r="E38" s="10"/>
      <c r="F38" s="213" t="s">
        <v>147</v>
      </c>
      <c r="G38" s="244"/>
      <c r="H38" s="244"/>
      <c r="I38" s="244" t="s">
        <v>24</v>
      </c>
      <c r="J38" s="244" t="s">
        <v>24</v>
      </c>
      <c r="K38" s="244"/>
      <c r="L38" s="244"/>
      <c r="M38" s="248"/>
      <c r="N38" s="286" t="s">
        <v>440</v>
      </c>
      <c r="O38" s="244"/>
      <c r="P38" s="248"/>
      <c r="Q38" s="260"/>
      <c r="R38" s="286" t="s">
        <v>440</v>
      </c>
    </row>
    <row r="39">
      <c r="A39" s="32"/>
      <c r="B39" s="32"/>
      <c r="C39" s="107" t="s">
        <v>148</v>
      </c>
      <c r="D39" s="10"/>
      <c r="E39" s="10"/>
      <c r="F39" s="213" t="s">
        <v>149</v>
      </c>
      <c r="G39" s="248"/>
      <c r="H39" s="260"/>
      <c r="I39" s="279" t="s">
        <v>200</v>
      </c>
      <c r="J39" s="248" t="s">
        <v>24</v>
      </c>
      <c r="K39" s="260"/>
      <c r="L39" s="244"/>
      <c r="M39" s="248"/>
      <c r="N39" s="260" t="s">
        <v>24</v>
      </c>
      <c r="O39" s="244"/>
      <c r="P39" s="248"/>
      <c r="Q39" s="260"/>
      <c r="R39" s="244"/>
    </row>
    <row r="40">
      <c r="A40" s="32"/>
      <c r="B40" s="32"/>
      <c r="C40" s="108" t="s">
        <v>150</v>
      </c>
      <c r="D40" s="10"/>
      <c r="E40" s="10"/>
      <c r="F40" s="213" t="s">
        <v>149</v>
      </c>
      <c r="G40" s="248"/>
      <c r="H40" s="244"/>
      <c r="I40" s="244" t="s">
        <v>24</v>
      </c>
      <c r="J40" s="248" t="s">
        <v>24</v>
      </c>
      <c r="K40" s="244"/>
      <c r="L40" s="244"/>
      <c r="M40" s="248"/>
      <c r="N40" s="286" t="s">
        <v>440</v>
      </c>
      <c r="O40" s="244"/>
      <c r="P40" s="248"/>
      <c r="Q40" s="260"/>
      <c r="R40" s="286" t="s">
        <v>440</v>
      </c>
    </row>
    <row r="41">
      <c r="A41" s="32"/>
      <c r="B41" s="32"/>
      <c r="C41" s="109" t="s">
        <v>151</v>
      </c>
      <c r="D41" s="10"/>
      <c r="E41" s="10"/>
      <c r="F41" s="212" t="s">
        <v>153</v>
      </c>
      <c r="G41" s="248"/>
      <c r="H41" s="244"/>
      <c r="I41" s="279" t="s">
        <v>424</v>
      </c>
      <c r="J41" s="248" t="s">
        <v>24</v>
      </c>
      <c r="K41" s="244"/>
      <c r="L41" s="244"/>
      <c r="M41" s="246"/>
      <c r="N41" s="286" t="s">
        <v>440</v>
      </c>
      <c r="O41" s="244"/>
      <c r="P41" s="246"/>
      <c r="Q41" s="259"/>
      <c r="R41" s="286" t="s">
        <v>440</v>
      </c>
    </row>
    <row r="42">
      <c r="A42" s="32"/>
      <c r="B42" s="32"/>
      <c r="C42" s="110" t="s">
        <v>154</v>
      </c>
      <c r="D42" s="10"/>
      <c r="E42" s="10"/>
      <c r="F42" s="17"/>
      <c r="G42" s="248"/>
      <c r="H42" s="244"/>
      <c r="I42" s="244" t="s">
        <v>24</v>
      </c>
      <c r="J42" s="248" t="s">
        <v>24</v>
      </c>
      <c r="K42" s="244"/>
      <c r="L42" s="244"/>
      <c r="M42" s="248"/>
      <c r="N42" s="286" t="s">
        <v>440</v>
      </c>
      <c r="O42" s="244"/>
      <c r="P42" s="248"/>
      <c r="Q42" s="259"/>
      <c r="R42" s="286" t="s">
        <v>440</v>
      </c>
    </row>
    <row r="43">
      <c r="A43" s="32"/>
      <c r="B43" s="32"/>
      <c r="C43" s="111" t="s">
        <v>155</v>
      </c>
      <c r="D43" s="10"/>
      <c r="E43" s="10"/>
      <c r="F43" s="221" t="s">
        <v>397</v>
      </c>
      <c r="G43" s="251"/>
      <c r="H43" s="251"/>
      <c r="I43" s="251" t="s">
        <v>397</v>
      </c>
      <c r="J43" s="251" t="s">
        <v>397</v>
      </c>
      <c r="K43" s="251"/>
      <c r="L43" s="251"/>
      <c r="M43" s="251"/>
      <c r="N43" s="251" t="s">
        <v>397</v>
      </c>
      <c r="O43" s="251"/>
      <c r="P43" s="251"/>
      <c r="Q43" s="251"/>
      <c r="R43" s="251"/>
    </row>
    <row r="44">
      <c r="A44" s="32"/>
      <c r="B44" s="32"/>
      <c r="C44" s="112" t="s">
        <v>157</v>
      </c>
      <c r="D44" s="10"/>
      <c r="E44" s="243" t="s">
        <v>158</v>
      </c>
      <c r="F44" s="17"/>
      <c r="G44" s="248"/>
      <c r="H44" s="244"/>
      <c r="I44" s="244" t="s">
        <v>24</v>
      </c>
      <c r="J44" s="248" t="s">
        <v>24</v>
      </c>
      <c r="K44" s="244"/>
      <c r="L44" s="244"/>
      <c r="M44" s="248"/>
      <c r="N44" s="286" t="s">
        <v>24</v>
      </c>
      <c r="O44" s="244"/>
      <c r="P44" s="248"/>
      <c r="Q44" s="260"/>
      <c r="R44" s="286" t="s">
        <v>440</v>
      </c>
    </row>
    <row r="45">
      <c r="A45" s="32"/>
      <c r="B45" s="32"/>
      <c r="C45" s="83" t="s">
        <v>159</v>
      </c>
      <c r="D45" s="10"/>
      <c r="E45" s="10"/>
      <c r="F45" s="17"/>
      <c r="G45" s="248"/>
      <c r="H45" s="263"/>
      <c r="I45" s="244" t="s">
        <v>24</v>
      </c>
      <c r="J45" s="248" t="s">
        <v>24</v>
      </c>
      <c r="K45" s="263"/>
      <c r="L45" s="244"/>
      <c r="M45" s="246"/>
      <c r="N45" s="290" t="s">
        <v>24</v>
      </c>
      <c r="O45" s="244"/>
      <c r="P45" s="246"/>
      <c r="Q45" s="260"/>
      <c r="R45" s="286" t="s">
        <v>440</v>
      </c>
    </row>
    <row r="46">
      <c r="A46" s="32"/>
      <c r="B46" s="32"/>
      <c r="C46" s="93" t="s">
        <v>161</v>
      </c>
      <c r="D46" s="10"/>
      <c r="E46" s="10"/>
      <c r="F46" s="17"/>
      <c r="G46" s="248"/>
      <c r="H46" s="260"/>
      <c r="I46" s="244" t="s">
        <v>24</v>
      </c>
      <c r="J46" s="248" t="s">
        <v>24</v>
      </c>
      <c r="K46" s="260"/>
      <c r="L46" s="244"/>
      <c r="M46" s="248"/>
      <c r="N46" s="260" t="s">
        <v>24</v>
      </c>
      <c r="O46" s="244"/>
      <c r="P46" s="248"/>
      <c r="Q46" s="260"/>
      <c r="R46" s="244"/>
    </row>
    <row r="47">
      <c r="A47" s="32"/>
      <c r="B47" s="32"/>
      <c r="C47" s="93" t="s">
        <v>162</v>
      </c>
      <c r="D47" s="10"/>
      <c r="E47" s="10"/>
      <c r="F47" s="223"/>
      <c r="G47" s="248"/>
      <c r="H47" s="244"/>
      <c r="I47" s="279" t="s">
        <v>394</v>
      </c>
      <c r="J47" s="248" t="s">
        <v>24</v>
      </c>
      <c r="K47" s="244"/>
      <c r="L47" s="244"/>
      <c r="M47" s="248"/>
      <c r="N47" s="286" t="s">
        <v>440</v>
      </c>
      <c r="O47" s="244"/>
      <c r="P47" s="248"/>
      <c r="Q47" s="260"/>
      <c r="R47" s="286" t="s">
        <v>440</v>
      </c>
    </row>
    <row r="48">
      <c r="A48" s="32"/>
      <c r="B48" s="32"/>
      <c r="C48" s="106" t="s">
        <v>164</v>
      </c>
      <c r="D48" s="10"/>
      <c r="E48" s="10"/>
      <c r="F48" s="224" t="s">
        <v>165</v>
      </c>
      <c r="G48" s="248"/>
      <c r="H48" s="244"/>
      <c r="I48" s="244" t="s">
        <v>24</v>
      </c>
      <c r="J48" s="248" t="s">
        <v>24</v>
      </c>
      <c r="K48" s="244"/>
      <c r="L48" s="244"/>
      <c r="M48" s="248"/>
      <c r="N48" s="286" t="s">
        <v>440</v>
      </c>
      <c r="O48" s="244"/>
      <c r="P48" s="248"/>
      <c r="Q48" s="260"/>
      <c r="R48" s="286" t="s">
        <v>440</v>
      </c>
    </row>
    <row r="49">
      <c r="A49" s="32"/>
      <c r="B49" s="32"/>
      <c r="C49" s="106" t="s">
        <v>166</v>
      </c>
      <c r="D49" s="10"/>
      <c r="E49" s="10"/>
      <c r="F49" s="212" t="s">
        <v>167</v>
      </c>
      <c r="G49" s="248"/>
      <c r="H49" s="260"/>
      <c r="I49" s="244" t="s">
        <v>24</v>
      </c>
      <c r="J49" s="248" t="s">
        <v>24</v>
      </c>
      <c r="K49" s="260"/>
      <c r="L49" s="244"/>
      <c r="M49" s="248"/>
      <c r="N49" s="260" t="s">
        <v>24</v>
      </c>
      <c r="O49" s="244"/>
      <c r="P49" s="248"/>
      <c r="Q49" s="260"/>
      <c r="R49" s="244" t="s">
        <v>24</v>
      </c>
    </row>
    <row r="50">
      <c r="A50" s="32"/>
      <c r="B50" s="37"/>
      <c r="C50" s="93" t="s">
        <v>168</v>
      </c>
      <c r="D50" s="10"/>
      <c r="E50" s="10"/>
      <c r="F50" s="17"/>
      <c r="G50" s="248"/>
      <c r="H50" s="263"/>
      <c r="I50" s="244" t="s">
        <v>24</v>
      </c>
      <c r="J50" s="248" t="s">
        <v>24</v>
      </c>
      <c r="K50" s="263"/>
      <c r="L50" s="244"/>
      <c r="M50" s="248"/>
      <c r="N50" s="290" t="s">
        <v>24</v>
      </c>
      <c r="O50" s="244"/>
      <c r="P50" s="248"/>
      <c r="Q50" s="244"/>
      <c r="R50" s="286" t="s">
        <v>440</v>
      </c>
    </row>
    <row r="51">
      <c r="A51" s="32"/>
      <c r="B51" s="115" t="s">
        <v>169</v>
      </c>
      <c r="C51" s="85" t="s">
        <v>141</v>
      </c>
      <c r="D51" s="10"/>
      <c r="E51" s="10"/>
      <c r="F51" s="213" t="s">
        <v>170</v>
      </c>
      <c r="G51" s="244"/>
      <c r="H51" s="244"/>
      <c r="I51" s="244" t="s">
        <v>24</v>
      </c>
      <c r="J51" s="281" t="s">
        <v>24</v>
      </c>
      <c r="K51" s="244"/>
      <c r="L51" s="244"/>
      <c r="M51" s="248"/>
      <c r="N51" s="281" t="s">
        <v>24</v>
      </c>
      <c r="O51" s="244"/>
      <c r="P51" s="248"/>
      <c r="Q51" s="260"/>
      <c r="R51" s="286" t="s">
        <v>440</v>
      </c>
    </row>
    <row r="52">
      <c r="A52" s="32"/>
      <c r="B52" s="32"/>
      <c r="C52" s="85" t="s">
        <v>171</v>
      </c>
      <c r="D52" s="10"/>
      <c r="E52" s="10"/>
      <c r="F52" s="17"/>
      <c r="G52" s="244"/>
      <c r="H52" s="244"/>
      <c r="I52" s="244" t="s">
        <v>24</v>
      </c>
      <c r="J52" s="281" t="s">
        <v>24</v>
      </c>
      <c r="K52" s="244"/>
      <c r="L52" s="244"/>
      <c r="M52" s="248"/>
      <c r="N52" s="281" t="s">
        <v>24</v>
      </c>
      <c r="O52" s="244"/>
      <c r="P52" s="248"/>
      <c r="Q52" s="260"/>
      <c r="R52" s="286" t="s">
        <v>440</v>
      </c>
    </row>
    <row r="53">
      <c r="A53" s="32"/>
      <c r="B53" s="32"/>
      <c r="C53" s="116" t="s">
        <v>315</v>
      </c>
      <c r="D53" s="10"/>
      <c r="E53" s="10"/>
      <c r="F53" s="225" t="s">
        <v>176</v>
      </c>
      <c r="G53" s="244"/>
      <c r="H53" s="260"/>
      <c r="I53" s="244" t="s">
        <v>24</v>
      </c>
      <c r="J53" s="281"/>
      <c r="K53" s="260"/>
      <c r="L53" s="244"/>
      <c r="M53" s="248"/>
      <c r="N53" s="260"/>
      <c r="O53" s="244"/>
      <c r="P53" s="248"/>
      <c r="Q53" s="260"/>
      <c r="R53" s="244"/>
    </row>
    <row r="54">
      <c r="A54" s="32"/>
      <c r="B54" s="37"/>
      <c r="C54" s="77" t="s">
        <v>177</v>
      </c>
      <c r="D54" s="10"/>
      <c r="E54" s="10"/>
      <c r="F54" s="17"/>
      <c r="G54" s="248"/>
      <c r="H54" s="260"/>
      <c r="I54" s="244" t="s">
        <v>24</v>
      </c>
      <c r="J54" s="248"/>
      <c r="K54" s="260"/>
      <c r="L54" s="244"/>
      <c r="M54" s="248"/>
      <c r="N54" s="260" t="s">
        <v>24</v>
      </c>
      <c r="O54" s="244"/>
      <c r="P54" s="248"/>
      <c r="Q54" s="260"/>
      <c r="R54" s="244"/>
    </row>
    <row r="55">
      <c r="A55" s="32"/>
      <c r="B55" s="102" t="s">
        <v>178</v>
      </c>
      <c r="C55" s="93" t="s">
        <v>179</v>
      </c>
      <c r="D55" s="10"/>
      <c r="E55" s="10"/>
      <c r="F55" s="17"/>
      <c r="G55" s="248"/>
      <c r="H55" s="260"/>
      <c r="I55" s="244" t="s">
        <v>24</v>
      </c>
      <c r="J55" s="248"/>
      <c r="K55" s="260"/>
      <c r="L55" s="244"/>
      <c r="M55" s="248"/>
      <c r="N55" s="260" t="s">
        <v>24</v>
      </c>
      <c r="O55" s="244"/>
      <c r="P55" s="248"/>
      <c r="Q55" s="260"/>
      <c r="R55" s="244" t="s">
        <v>24</v>
      </c>
    </row>
    <row r="56">
      <c r="A56" s="32"/>
      <c r="B56" s="32"/>
      <c r="C56" s="93" t="s">
        <v>141</v>
      </c>
      <c r="D56" s="10"/>
      <c r="E56" s="10"/>
      <c r="F56" s="17"/>
      <c r="G56" s="248"/>
      <c r="H56" s="263"/>
      <c r="I56" s="244" t="s">
        <v>24</v>
      </c>
      <c r="J56" s="248"/>
      <c r="K56" s="263"/>
      <c r="L56" s="244"/>
      <c r="M56" s="248"/>
      <c r="N56" s="290" t="s">
        <v>24</v>
      </c>
      <c r="O56" s="244"/>
      <c r="P56" s="248"/>
      <c r="Q56" s="244"/>
      <c r="R56" s="286" t="s">
        <v>440</v>
      </c>
    </row>
    <row r="57">
      <c r="A57" s="32"/>
      <c r="B57" s="32"/>
      <c r="C57" s="106" t="s">
        <v>181</v>
      </c>
      <c r="D57" s="10"/>
      <c r="E57" s="10"/>
      <c r="F57" s="213" t="s">
        <v>182</v>
      </c>
      <c r="G57" s="248"/>
      <c r="H57" s="244"/>
      <c r="I57" s="244" t="s">
        <v>24</v>
      </c>
      <c r="J57" s="248"/>
      <c r="K57" s="244"/>
      <c r="L57" s="244"/>
      <c r="M57" s="248"/>
      <c r="N57" s="286" t="s">
        <v>440</v>
      </c>
      <c r="O57" s="244"/>
      <c r="P57" s="248"/>
      <c r="Q57" s="260"/>
      <c r="R57" s="286" t="s">
        <v>440</v>
      </c>
    </row>
    <row r="58">
      <c r="A58" s="32"/>
      <c r="B58" s="32"/>
      <c r="C58" s="93" t="s">
        <v>183</v>
      </c>
      <c r="D58" s="10"/>
      <c r="E58" s="10"/>
      <c r="F58" s="17"/>
      <c r="G58" s="248"/>
      <c r="H58" s="244"/>
      <c r="I58" s="244" t="s">
        <v>24</v>
      </c>
      <c r="J58" s="248"/>
      <c r="K58" s="244"/>
      <c r="L58" s="244"/>
      <c r="M58" s="248"/>
      <c r="N58" s="286" t="s">
        <v>440</v>
      </c>
      <c r="O58" s="244"/>
      <c r="P58" s="248"/>
      <c r="Q58" s="260"/>
      <c r="R58" s="286" t="s">
        <v>440</v>
      </c>
    </row>
    <row r="59">
      <c r="A59" s="32"/>
      <c r="B59" s="32"/>
      <c r="C59" s="93" t="s">
        <v>184</v>
      </c>
      <c r="D59" s="10"/>
      <c r="E59" s="10"/>
      <c r="F59" s="17"/>
      <c r="G59" s="248"/>
      <c r="H59" s="244"/>
      <c r="I59" s="244" t="s">
        <v>24</v>
      </c>
      <c r="J59" s="248"/>
      <c r="K59" s="244"/>
      <c r="L59" s="244"/>
      <c r="M59" s="248"/>
      <c r="N59" s="286" t="s">
        <v>440</v>
      </c>
      <c r="O59" s="244"/>
      <c r="P59" s="248"/>
      <c r="Q59" s="260"/>
      <c r="R59" s="286" t="s">
        <v>440</v>
      </c>
    </row>
    <row r="60">
      <c r="A60" s="32"/>
      <c r="B60" s="32"/>
      <c r="C60" s="106" t="s">
        <v>185</v>
      </c>
      <c r="D60" s="10"/>
      <c r="E60" s="10"/>
      <c r="F60" s="213" t="s">
        <v>186</v>
      </c>
      <c r="G60" s="248"/>
      <c r="H60" s="244"/>
      <c r="I60" s="244" t="s">
        <v>24</v>
      </c>
      <c r="J60" s="248"/>
      <c r="K60" s="244"/>
      <c r="L60" s="244"/>
      <c r="M60" s="248"/>
      <c r="N60" s="286" t="s">
        <v>440</v>
      </c>
      <c r="O60" s="244"/>
      <c r="P60" s="248"/>
      <c r="Q60" s="244"/>
      <c r="R60" s="286" t="s">
        <v>440</v>
      </c>
    </row>
    <row r="61">
      <c r="A61" s="32"/>
      <c r="B61" s="32"/>
      <c r="C61" s="87" t="s">
        <v>187</v>
      </c>
      <c r="D61" s="10"/>
      <c r="E61" s="10"/>
      <c r="F61" s="17"/>
      <c r="G61" s="248"/>
      <c r="H61" s="244"/>
      <c r="I61" s="244" t="s">
        <v>24</v>
      </c>
      <c r="J61" s="248"/>
      <c r="K61" s="244"/>
      <c r="L61" s="244"/>
      <c r="M61" s="248"/>
      <c r="N61" s="286" t="s">
        <v>440</v>
      </c>
      <c r="O61" s="244"/>
      <c r="P61" s="248"/>
      <c r="Q61" s="260"/>
      <c r="R61" s="286" t="s">
        <v>440</v>
      </c>
    </row>
    <row r="62">
      <c r="A62" s="32"/>
      <c r="B62" s="32"/>
      <c r="C62" s="87" t="s">
        <v>188</v>
      </c>
      <c r="D62" s="10"/>
      <c r="E62" s="10"/>
      <c r="F62" s="212" t="s">
        <v>189</v>
      </c>
      <c r="G62" s="248"/>
      <c r="H62" s="244"/>
      <c r="I62" s="244" t="s">
        <v>24</v>
      </c>
      <c r="J62" s="248"/>
      <c r="K62" s="244"/>
      <c r="L62" s="244"/>
      <c r="M62" s="248"/>
      <c r="N62" s="286" t="s">
        <v>440</v>
      </c>
      <c r="O62" s="244"/>
      <c r="P62" s="248"/>
      <c r="Q62" s="291"/>
      <c r="R62" s="286" t="s">
        <v>440</v>
      </c>
    </row>
    <row r="63">
      <c r="A63" s="32"/>
      <c r="B63" s="32"/>
      <c r="C63" s="77" t="s">
        <v>190</v>
      </c>
      <c r="D63" s="10"/>
      <c r="E63" s="10"/>
      <c r="F63" s="17"/>
      <c r="G63" s="248"/>
      <c r="H63" s="265"/>
      <c r="I63" s="244" t="s">
        <v>24</v>
      </c>
      <c r="J63" s="248"/>
      <c r="K63" s="265"/>
      <c r="L63" s="244"/>
      <c r="M63" s="248"/>
      <c r="N63" s="265" t="s">
        <v>24</v>
      </c>
      <c r="O63" s="244"/>
      <c r="P63" s="248"/>
      <c r="Q63" s="265"/>
      <c r="R63" s="244"/>
    </row>
    <row r="64">
      <c r="A64" s="32"/>
      <c r="B64" s="32"/>
      <c r="C64" s="106" t="s">
        <v>425</v>
      </c>
      <c r="D64" s="10"/>
      <c r="E64" s="10"/>
      <c r="F64" s="213" t="s">
        <v>192</v>
      </c>
      <c r="G64" s="248"/>
      <c r="H64" s="260"/>
      <c r="I64" s="244" t="s">
        <v>24</v>
      </c>
      <c r="J64" s="248"/>
      <c r="K64" s="260"/>
      <c r="L64" s="244"/>
      <c r="M64" s="248"/>
      <c r="N64" s="260" t="s">
        <v>24</v>
      </c>
      <c r="O64" s="244"/>
      <c r="P64" s="248"/>
      <c r="Q64" s="260"/>
      <c r="R64" s="244"/>
    </row>
    <row r="65">
      <c r="A65" s="32"/>
      <c r="B65" s="32"/>
      <c r="C65" s="106" t="s">
        <v>193</v>
      </c>
      <c r="D65" s="10"/>
      <c r="E65" s="10"/>
      <c r="F65" s="17"/>
      <c r="G65" s="248"/>
      <c r="H65" s="260"/>
      <c r="I65" s="244" t="s">
        <v>24</v>
      </c>
      <c r="J65" s="248"/>
      <c r="K65" s="260"/>
      <c r="L65" s="244"/>
      <c r="M65" s="248"/>
      <c r="N65" s="260" t="s">
        <v>24</v>
      </c>
      <c r="O65" s="244"/>
      <c r="P65" s="248"/>
      <c r="Q65" s="260"/>
      <c r="R65" s="244" t="s">
        <v>24</v>
      </c>
    </row>
    <row r="66">
      <c r="A66" s="32"/>
      <c r="B66" s="32"/>
      <c r="C66" s="93" t="s">
        <v>194</v>
      </c>
      <c r="D66" s="10"/>
      <c r="E66" s="10"/>
      <c r="F66" s="17"/>
      <c r="G66" s="248"/>
      <c r="H66" s="260"/>
      <c r="I66" s="244" t="s">
        <v>24</v>
      </c>
      <c r="J66" s="248"/>
      <c r="K66" s="260"/>
      <c r="L66" s="244"/>
      <c r="M66" s="248"/>
      <c r="N66" s="260" t="s">
        <v>24</v>
      </c>
      <c r="O66" s="244"/>
      <c r="P66" s="248"/>
      <c r="Q66" s="260"/>
      <c r="R66" s="244" t="s">
        <v>24</v>
      </c>
    </row>
    <row r="67">
      <c r="A67" s="32"/>
      <c r="B67" s="32"/>
      <c r="C67" s="103" t="s">
        <v>195</v>
      </c>
      <c r="D67" s="10"/>
      <c r="E67" s="10"/>
      <c r="F67" s="213" t="s">
        <v>196</v>
      </c>
      <c r="G67" s="248"/>
      <c r="H67" s="244"/>
      <c r="I67" s="244" t="s">
        <v>24</v>
      </c>
      <c r="J67" s="248"/>
      <c r="K67" s="244"/>
      <c r="L67" s="244"/>
      <c r="M67" s="248"/>
      <c r="N67" s="286" t="s">
        <v>440</v>
      </c>
      <c r="O67" s="244"/>
      <c r="P67" s="248"/>
      <c r="Q67" s="260"/>
      <c r="R67" s="286" t="s">
        <v>440</v>
      </c>
    </row>
    <row r="68">
      <c r="A68" s="32"/>
      <c r="B68" s="32"/>
      <c r="C68" s="93" t="s">
        <v>197</v>
      </c>
      <c r="D68" s="10"/>
      <c r="E68" s="10"/>
      <c r="F68" s="213" t="s">
        <v>196</v>
      </c>
      <c r="G68" s="248"/>
      <c r="H68" s="244"/>
      <c r="I68" s="244" t="s">
        <v>24</v>
      </c>
      <c r="J68" s="248"/>
      <c r="K68" s="244"/>
      <c r="L68" s="244"/>
      <c r="M68" s="248"/>
      <c r="N68" s="286" t="s">
        <v>440</v>
      </c>
      <c r="O68" s="244"/>
      <c r="P68" s="248"/>
      <c r="Q68" s="260"/>
      <c r="R68" s="286" t="s">
        <v>440</v>
      </c>
    </row>
    <row r="69">
      <c r="A69" s="32"/>
      <c r="B69" s="32"/>
      <c r="C69" s="226" t="s">
        <v>198</v>
      </c>
      <c r="D69" s="10"/>
      <c r="E69" s="10"/>
      <c r="F69" s="213" t="s">
        <v>196</v>
      </c>
      <c r="G69" s="248"/>
      <c r="H69" s="244"/>
      <c r="I69" s="244" t="s">
        <v>24</v>
      </c>
      <c r="J69" s="248"/>
      <c r="K69" s="244"/>
      <c r="L69" s="244"/>
      <c r="M69" s="248"/>
      <c r="N69" s="286" t="s">
        <v>440</v>
      </c>
      <c r="O69" s="244"/>
      <c r="P69" s="248"/>
      <c r="Q69" s="260"/>
      <c r="R69" s="286" t="s">
        <v>440</v>
      </c>
    </row>
    <row r="70">
      <c r="A70" s="32"/>
      <c r="B70" s="32"/>
      <c r="C70" s="118" t="s">
        <v>199</v>
      </c>
      <c r="D70" s="10"/>
      <c r="E70" s="10"/>
      <c r="F70" s="212" t="s">
        <v>200</v>
      </c>
      <c r="G70" s="244"/>
      <c r="H70" s="244"/>
      <c r="I70" s="244" t="s">
        <v>24</v>
      </c>
      <c r="J70" s="244"/>
      <c r="K70" s="244"/>
      <c r="L70" s="244"/>
      <c r="M70" s="244"/>
      <c r="N70" s="286" t="s">
        <v>440</v>
      </c>
      <c r="O70" s="244"/>
      <c r="P70" s="244"/>
      <c r="Q70" s="260"/>
      <c r="R70" s="286" t="s">
        <v>440</v>
      </c>
    </row>
    <row r="71">
      <c r="A71" s="32"/>
      <c r="B71" s="32"/>
      <c r="C71" s="227" t="s">
        <v>201</v>
      </c>
      <c r="D71" s="10"/>
      <c r="E71" s="10"/>
      <c r="F71" s="213" t="s">
        <v>202</v>
      </c>
      <c r="G71" s="248"/>
      <c r="H71" s="260"/>
      <c r="I71" s="244" t="s">
        <v>24</v>
      </c>
      <c r="J71" s="248"/>
      <c r="K71" s="260"/>
      <c r="L71" s="244"/>
      <c r="M71" s="248"/>
      <c r="N71" s="260" t="s">
        <v>24</v>
      </c>
      <c r="O71" s="244"/>
      <c r="P71" s="248"/>
      <c r="Q71" s="260"/>
      <c r="R71" s="244"/>
    </row>
    <row r="72">
      <c r="A72" s="32"/>
      <c r="B72" s="32"/>
      <c r="C72" s="119" t="s">
        <v>203</v>
      </c>
      <c r="D72" s="10"/>
      <c r="E72" s="10"/>
      <c r="F72" s="213" t="s">
        <v>124</v>
      </c>
      <c r="G72" s="248"/>
      <c r="H72" s="244"/>
      <c r="I72" s="286" t="s">
        <v>426</v>
      </c>
      <c r="J72" s="248"/>
      <c r="K72" s="244"/>
      <c r="L72" s="244"/>
      <c r="M72" s="248"/>
      <c r="N72" s="286" t="s">
        <v>440</v>
      </c>
      <c r="O72" s="244"/>
      <c r="P72" s="248"/>
      <c r="Q72" s="292"/>
      <c r="R72" s="286" t="s">
        <v>440</v>
      </c>
    </row>
    <row r="73">
      <c r="A73" s="32"/>
      <c r="B73" s="32"/>
      <c r="C73" s="120" t="s">
        <v>316</v>
      </c>
      <c r="D73" s="10"/>
      <c r="E73" s="10"/>
      <c r="F73" s="213" t="s">
        <v>124</v>
      </c>
      <c r="G73" s="248"/>
      <c r="H73" s="259"/>
      <c r="I73" s="286" t="s">
        <v>427</v>
      </c>
      <c r="J73" s="248"/>
      <c r="K73" s="259"/>
      <c r="L73" s="244"/>
      <c r="M73" s="248"/>
      <c r="N73" s="259" t="s">
        <v>24</v>
      </c>
      <c r="O73" s="244"/>
      <c r="P73" s="248"/>
      <c r="Q73" s="259"/>
      <c r="R73" s="244" t="s">
        <v>24</v>
      </c>
    </row>
    <row r="74">
      <c r="A74" s="32"/>
      <c r="B74" s="37"/>
      <c r="C74" s="121" t="s">
        <v>205</v>
      </c>
      <c r="D74" s="245" t="s">
        <v>206</v>
      </c>
      <c r="E74" s="10"/>
      <c r="F74" s="213" t="s">
        <v>207</v>
      </c>
      <c r="G74" s="248"/>
      <c r="H74" s="244"/>
      <c r="I74" s="244" t="s">
        <v>24</v>
      </c>
      <c r="J74" s="248"/>
      <c r="K74" s="244"/>
      <c r="L74" s="244"/>
      <c r="M74" s="248"/>
      <c r="N74" s="286" t="s">
        <v>440</v>
      </c>
      <c r="O74" s="244"/>
      <c r="P74" s="248"/>
      <c r="Q74" s="260"/>
      <c r="R74" s="286" t="s">
        <v>440</v>
      </c>
    </row>
    <row r="75">
      <c r="A75" s="32"/>
      <c r="B75" s="102" t="s">
        <v>208</v>
      </c>
      <c r="C75" s="106" t="s">
        <v>209</v>
      </c>
      <c r="D75" s="10"/>
      <c r="E75" s="10"/>
      <c r="F75" s="17"/>
      <c r="G75" s="248"/>
      <c r="H75" s="244"/>
      <c r="I75" s="244" t="s">
        <v>24</v>
      </c>
      <c r="J75" s="248"/>
      <c r="K75" s="244"/>
      <c r="L75" s="244"/>
      <c r="M75" s="248"/>
      <c r="N75" s="286" t="s">
        <v>440</v>
      </c>
      <c r="O75" s="244"/>
      <c r="P75" s="248"/>
      <c r="Q75" s="260"/>
      <c r="R75" s="286" t="s">
        <v>440</v>
      </c>
    </row>
    <row r="76">
      <c r="A76" s="32"/>
      <c r="B76" s="32"/>
      <c r="C76" s="123" t="s">
        <v>210</v>
      </c>
      <c r="D76" s="10"/>
      <c r="E76" s="10"/>
      <c r="F76" s="213" t="s">
        <v>211</v>
      </c>
      <c r="G76" s="248"/>
      <c r="H76" s="244"/>
      <c r="I76" s="244" t="s">
        <v>24</v>
      </c>
      <c r="J76" s="248"/>
      <c r="K76" s="244"/>
      <c r="L76" s="244"/>
      <c r="M76" s="248"/>
      <c r="N76" s="286" t="s">
        <v>440</v>
      </c>
      <c r="O76" s="244"/>
      <c r="P76" s="248"/>
      <c r="Q76" s="260"/>
      <c r="R76" s="286" t="s">
        <v>440</v>
      </c>
    </row>
    <row r="77">
      <c r="A77" s="32"/>
      <c r="B77" s="32"/>
      <c r="C77" s="124" t="s">
        <v>212</v>
      </c>
      <c r="D77" s="10"/>
      <c r="E77" s="10"/>
      <c r="F77" s="17"/>
      <c r="G77" s="248"/>
      <c r="H77" s="244"/>
      <c r="I77" s="244" t="s">
        <v>24</v>
      </c>
      <c r="J77" s="248"/>
      <c r="K77" s="244"/>
      <c r="L77" s="244"/>
      <c r="M77" s="248"/>
      <c r="N77" s="286" t="s">
        <v>440</v>
      </c>
      <c r="O77" s="244"/>
      <c r="P77" s="248"/>
      <c r="Q77" s="260"/>
      <c r="R77" s="286" t="s">
        <v>440</v>
      </c>
    </row>
    <row r="78">
      <c r="A78" s="32"/>
      <c r="B78" s="32"/>
      <c r="C78" s="125" t="s">
        <v>213</v>
      </c>
      <c r="D78" s="10"/>
      <c r="E78" s="10"/>
      <c r="F78" s="17"/>
      <c r="G78" s="248"/>
      <c r="H78" s="244"/>
      <c r="I78" s="244" t="s">
        <v>24</v>
      </c>
      <c r="J78" s="248"/>
      <c r="K78" s="244"/>
      <c r="L78" s="244"/>
      <c r="M78" s="248"/>
      <c r="N78" s="286" t="s">
        <v>440</v>
      </c>
      <c r="O78" s="244"/>
      <c r="P78" s="248"/>
      <c r="Q78" s="260"/>
      <c r="R78" s="286" t="s">
        <v>440</v>
      </c>
    </row>
    <row r="79">
      <c r="A79" s="32"/>
      <c r="B79" s="37"/>
      <c r="C79" s="124" t="s">
        <v>214</v>
      </c>
      <c r="D79" s="10"/>
      <c r="E79" s="10"/>
      <c r="F79" s="17"/>
      <c r="G79" s="248"/>
      <c r="H79" s="260"/>
      <c r="I79" s="244" t="s">
        <v>24</v>
      </c>
      <c r="J79" s="248"/>
      <c r="K79" s="260"/>
      <c r="L79" s="244"/>
      <c r="M79" s="248"/>
      <c r="N79" s="260" t="s">
        <v>24</v>
      </c>
      <c r="O79" s="244"/>
      <c r="P79" s="248"/>
      <c r="Q79" s="260"/>
      <c r="R79" s="244"/>
    </row>
    <row r="80">
      <c r="A80" s="32"/>
      <c r="B80" s="115" t="s">
        <v>217</v>
      </c>
      <c r="C80" s="124" t="s">
        <v>218</v>
      </c>
      <c r="D80" s="10"/>
      <c r="E80" s="10"/>
      <c r="F80" s="17"/>
      <c r="G80" s="248"/>
      <c r="H80" s="244"/>
      <c r="I80" s="244" t="s">
        <v>24</v>
      </c>
      <c r="J80" s="248"/>
      <c r="K80" s="244"/>
      <c r="L80" s="244"/>
      <c r="M80" s="248"/>
      <c r="N80" s="286" t="s">
        <v>440</v>
      </c>
      <c r="O80" s="244"/>
      <c r="P80" s="248"/>
      <c r="Q80" s="260"/>
      <c r="R80" s="286" t="s">
        <v>440</v>
      </c>
    </row>
    <row r="81">
      <c r="A81" s="32"/>
      <c r="B81" s="32"/>
      <c r="C81" s="124" t="s">
        <v>220</v>
      </c>
      <c r="D81" s="10"/>
      <c r="E81" s="10"/>
      <c r="F81" s="17"/>
      <c r="G81" s="248"/>
      <c r="H81" s="258"/>
      <c r="I81" s="244" t="s">
        <v>24</v>
      </c>
      <c r="J81" s="248"/>
      <c r="K81" s="258"/>
      <c r="L81" s="244"/>
      <c r="M81" s="248"/>
      <c r="N81" s="258" t="s">
        <v>24</v>
      </c>
      <c r="O81" s="244"/>
      <c r="P81" s="248"/>
      <c r="Q81" s="258"/>
      <c r="R81" s="244"/>
    </row>
    <row r="82">
      <c r="A82" s="32"/>
      <c r="B82" s="32"/>
      <c r="C82" s="129" t="s">
        <v>221</v>
      </c>
      <c r="D82" s="10"/>
      <c r="E82" s="10"/>
      <c r="F82" s="213" t="s">
        <v>222</v>
      </c>
      <c r="G82" s="248"/>
      <c r="H82" s="260"/>
      <c r="I82" s="244" t="s">
        <v>24</v>
      </c>
      <c r="J82" s="248"/>
      <c r="K82" s="260"/>
      <c r="L82" s="244"/>
      <c r="M82" s="248"/>
      <c r="N82" s="260" t="s">
        <v>24</v>
      </c>
      <c r="O82" s="244"/>
      <c r="P82" s="248"/>
      <c r="Q82" s="260"/>
      <c r="R82" s="244"/>
    </row>
    <row r="83">
      <c r="A83" s="32"/>
      <c r="B83" s="37"/>
      <c r="C83" s="124" t="s">
        <v>223</v>
      </c>
      <c r="D83" s="10"/>
      <c r="E83" s="10"/>
      <c r="F83" s="213" t="s">
        <v>224</v>
      </c>
      <c r="G83" s="244"/>
      <c r="H83" s="260"/>
      <c r="I83" s="244" t="s">
        <v>24</v>
      </c>
      <c r="J83" s="244"/>
      <c r="K83" s="260"/>
      <c r="L83" s="244"/>
      <c r="M83" s="244"/>
      <c r="N83" s="260" t="s">
        <v>24</v>
      </c>
      <c r="O83" s="244"/>
      <c r="P83" s="244"/>
      <c r="Q83" s="260"/>
      <c r="R83" s="286" t="s">
        <v>440</v>
      </c>
    </row>
    <row r="84">
      <c r="A84" s="32"/>
      <c r="B84" s="102" t="s">
        <v>244</v>
      </c>
      <c r="C84" s="106" t="s">
        <v>245</v>
      </c>
      <c r="D84" s="10"/>
      <c r="E84" s="245" t="s">
        <v>248</v>
      </c>
      <c r="F84" s="237" t="s">
        <v>411</v>
      </c>
      <c r="G84" s="248"/>
      <c r="H84" s="260"/>
      <c r="I84" s="244" t="s">
        <v>24</v>
      </c>
      <c r="J84" s="248"/>
      <c r="K84" s="260"/>
      <c r="L84" s="244"/>
      <c r="M84" s="248"/>
      <c r="N84" s="260" t="s">
        <v>24</v>
      </c>
      <c r="O84" s="244"/>
      <c r="P84" s="248"/>
      <c r="Q84" s="260"/>
      <c r="R84" s="244" t="s">
        <v>24</v>
      </c>
    </row>
    <row r="85">
      <c r="A85" s="32"/>
      <c r="B85" s="32"/>
      <c r="C85" s="123" t="s">
        <v>247</v>
      </c>
      <c r="D85" s="10"/>
      <c r="E85" s="245" t="s">
        <v>248</v>
      </c>
      <c r="F85" s="213" t="s">
        <v>207</v>
      </c>
      <c r="G85" s="248"/>
      <c r="H85" s="244"/>
      <c r="I85" s="244" t="s">
        <v>24</v>
      </c>
      <c r="J85" s="248"/>
      <c r="K85" s="244"/>
      <c r="L85" s="244"/>
      <c r="M85" s="248"/>
      <c r="N85" s="286" t="s">
        <v>440</v>
      </c>
      <c r="O85" s="244"/>
      <c r="P85" s="248"/>
      <c r="Q85" s="260"/>
      <c r="R85" s="286" t="s">
        <v>440</v>
      </c>
    </row>
    <row r="86">
      <c r="A86" s="32"/>
      <c r="B86" s="32"/>
      <c r="C86" s="123" t="s">
        <v>249</v>
      </c>
      <c r="D86" s="10"/>
      <c r="E86" s="10"/>
      <c r="F86" s="213" t="s">
        <v>250</v>
      </c>
      <c r="G86" s="248"/>
      <c r="H86" s="260"/>
      <c r="I86" s="244" t="s">
        <v>24</v>
      </c>
      <c r="J86" s="248"/>
      <c r="K86" s="260"/>
      <c r="L86" s="244"/>
      <c r="M86" s="248"/>
      <c r="N86" s="260" t="s">
        <v>24</v>
      </c>
      <c r="O86" s="244"/>
      <c r="P86" s="248"/>
      <c r="Q86" s="260"/>
      <c r="R86" s="244" t="s">
        <v>24</v>
      </c>
    </row>
    <row r="87">
      <c r="A87" s="32"/>
      <c r="B87" s="32"/>
      <c r="C87" s="103" t="s">
        <v>251</v>
      </c>
      <c r="D87" s="10"/>
      <c r="E87" s="10"/>
      <c r="F87" s="213" t="s">
        <v>252</v>
      </c>
      <c r="G87" s="244"/>
      <c r="H87" s="244"/>
      <c r="I87" s="244" t="s">
        <v>24</v>
      </c>
      <c r="J87" s="244"/>
      <c r="K87" s="244"/>
      <c r="L87" s="244"/>
      <c r="M87" s="244"/>
      <c r="N87" s="244" t="s">
        <v>24</v>
      </c>
      <c r="O87" s="244"/>
      <c r="P87" s="244"/>
      <c r="Q87" s="244"/>
      <c r="R87" s="244" t="s">
        <v>24</v>
      </c>
    </row>
    <row r="88">
      <c r="A88" s="32"/>
      <c r="B88" s="32"/>
      <c r="C88" s="106" t="s">
        <v>253</v>
      </c>
      <c r="D88" s="10"/>
      <c r="E88" s="10"/>
      <c r="F88" s="213" t="s">
        <v>254</v>
      </c>
      <c r="G88" s="244"/>
      <c r="H88" s="244"/>
      <c r="I88" s="244" t="s">
        <v>24</v>
      </c>
      <c r="J88" s="244"/>
      <c r="K88" s="244"/>
      <c r="L88" s="244"/>
      <c r="M88" s="244"/>
      <c r="N88" s="286" t="s">
        <v>440</v>
      </c>
      <c r="O88" s="244"/>
      <c r="P88" s="244"/>
      <c r="Q88" s="260"/>
      <c r="R88" s="286" t="s">
        <v>440</v>
      </c>
    </row>
    <row r="89">
      <c r="A89" s="32"/>
      <c r="B89" s="32"/>
      <c r="C89" s="106" t="s">
        <v>255</v>
      </c>
      <c r="D89" s="10"/>
      <c r="E89" s="10"/>
      <c r="F89" s="213" t="s">
        <v>256</v>
      </c>
      <c r="G89" s="258"/>
      <c r="H89" s="258"/>
      <c r="I89" s="289" t="s">
        <v>413</v>
      </c>
      <c r="J89" s="293" t="s">
        <v>413</v>
      </c>
      <c r="K89" s="258"/>
      <c r="L89" s="244"/>
      <c r="M89" s="244"/>
      <c r="N89" s="289" t="s">
        <v>413</v>
      </c>
      <c r="O89" s="244"/>
      <c r="P89" s="244"/>
      <c r="Q89" s="260"/>
      <c r="R89" s="244"/>
    </row>
    <row r="90">
      <c r="A90" s="32"/>
      <c r="B90" s="32"/>
      <c r="C90" s="93" t="s">
        <v>257</v>
      </c>
      <c r="D90" s="10"/>
      <c r="E90" s="10"/>
      <c r="F90" s="17"/>
      <c r="G90" s="248"/>
      <c r="H90" s="244"/>
      <c r="I90" s="244" t="s">
        <v>24</v>
      </c>
      <c r="J90" s="248" t="s">
        <v>24</v>
      </c>
      <c r="K90" s="244"/>
      <c r="L90" s="244"/>
      <c r="M90" s="248"/>
      <c r="N90" s="286" t="s">
        <v>440</v>
      </c>
      <c r="O90" s="244"/>
      <c r="P90" s="248"/>
      <c r="Q90" s="260"/>
      <c r="R90" s="286" t="s">
        <v>440</v>
      </c>
    </row>
    <row r="91">
      <c r="A91" s="32"/>
      <c r="B91" s="32"/>
      <c r="C91" s="93" t="s">
        <v>258</v>
      </c>
      <c r="D91" s="10"/>
      <c r="E91" s="10"/>
      <c r="F91" s="213" t="s">
        <v>259</v>
      </c>
      <c r="G91" s="248"/>
      <c r="H91" s="244"/>
      <c r="I91" s="244" t="s">
        <v>24</v>
      </c>
      <c r="J91" s="248" t="s">
        <v>24</v>
      </c>
      <c r="K91" s="244"/>
      <c r="L91" s="244"/>
      <c r="M91" s="248"/>
      <c r="N91" s="286" t="s">
        <v>440</v>
      </c>
      <c r="O91" s="244"/>
      <c r="P91" s="248"/>
      <c r="Q91" s="260"/>
      <c r="R91" s="286" t="s">
        <v>440</v>
      </c>
    </row>
    <row r="92">
      <c r="A92" s="32"/>
      <c r="B92" s="32"/>
      <c r="C92" s="238" t="s">
        <v>260</v>
      </c>
      <c r="D92" s="10"/>
      <c r="E92" s="10"/>
      <c r="F92" s="17"/>
      <c r="G92" s="248"/>
      <c r="H92" s="244"/>
      <c r="I92" s="279" t="s">
        <v>414</v>
      </c>
      <c r="J92" s="248"/>
      <c r="K92" s="244"/>
      <c r="L92" s="244"/>
      <c r="M92" s="248"/>
      <c r="N92" s="286"/>
      <c r="O92" s="244"/>
      <c r="P92" s="248"/>
      <c r="Q92" s="260"/>
      <c r="R92" s="286"/>
    </row>
    <row r="93">
      <c r="A93" s="32"/>
      <c r="B93" s="37"/>
      <c r="C93" s="294" t="s">
        <v>441</v>
      </c>
      <c r="D93" s="10"/>
      <c r="E93" s="10"/>
      <c r="F93" s="17"/>
      <c r="G93" s="248"/>
      <c r="H93" s="244"/>
      <c r="I93" s="244" t="s">
        <v>24</v>
      </c>
      <c r="J93" s="248" t="s">
        <v>24</v>
      </c>
      <c r="K93" s="244"/>
      <c r="L93" s="244"/>
      <c r="M93" s="248"/>
      <c r="N93" s="286" t="s">
        <v>440</v>
      </c>
      <c r="O93" s="244"/>
      <c r="P93" s="248"/>
      <c r="Q93" s="260"/>
      <c r="R93" s="286" t="s">
        <v>440</v>
      </c>
    </row>
    <row r="94">
      <c r="A94" s="32"/>
      <c r="B94" s="141" t="s">
        <v>264</v>
      </c>
      <c r="C94" s="142" t="s">
        <v>265</v>
      </c>
      <c r="E94" s="245" t="s">
        <v>266</v>
      </c>
      <c r="F94" s="240"/>
      <c r="G94" s="248"/>
      <c r="H94" s="260"/>
      <c r="I94" s="244" t="s">
        <v>24</v>
      </c>
      <c r="J94" s="248"/>
      <c r="K94" s="260"/>
      <c r="L94" s="244"/>
      <c r="M94" s="248"/>
      <c r="N94" s="260"/>
      <c r="O94" s="244"/>
      <c r="P94" s="248"/>
      <c r="Q94" s="260"/>
      <c r="R94" s="244"/>
    </row>
    <row r="95">
      <c r="A95" s="37"/>
      <c r="B95" s="37"/>
      <c r="C95" s="148" t="s">
        <v>274</v>
      </c>
      <c r="D95" s="10"/>
      <c r="F95" s="295" t="s">
        <v>275</v>
      </c>
      <c r="G95" s="248"/>
      <c r="H95" s="244"/>
      <c r="I95" s="244" t="s">
        <v>24</v>
      </c>
      <c r="J95" s="248"/>
      <c r="K95" s="244"/>
      <c r="L95" s="244"/>
      <c r="M95" s="248"/>
      <c r="N95" s="286" t="s">
        <v>440</v>
      </c>
      <c r="O95" s="244"/>
      <c r="P95" s="248"/>
      <c r="Q95" s="260"/>
      <c r="R95" s="286" t="s">
        <v>440</v>
      </c>
    </row>
    <row r="96">
      <c r="A96" s="154"/>
      <c r="B96" s="154">
        <v>96.0</v>
      </c>
      <c r="C96" s="154" t="s">
        <v>442</v>
      </c>
      <c r="D96" s="154"/>
      <c r="E96" s="154"/>
      <c r="F96" s="142" t="s">
        <v>276</v>
      </c>
      <c r="G96" s="200">
        <v>0.0</v>
      </c>
      <c r="H96" s="200">
        <v>0.0</v>
      </c>
      <c r="I96" s="200">
        <v>99.0</v>
      </c>
      <c r="J96" s="200">
        <v>56.0</v>
      </c>
      <c r="K96" s="200">
        <v>0.0</v>
      </c>
      <c r="L96" s="200">
        <v>0.0</v>
      </c>
      <c r="M96" s="200">
        <v>0.0</v>
      </c>
      <c r="N96" s="200">
        <v>96.0</v>
      </c>
      <c r="O96" s="200">
        <v>0.0</v>
      </c>
      <c r="P96" s="200">
        <v>0.0</v>
      </c>
      <c r="Q96" s="200">
        <v>0.0</v>
      </c>
      <c r="R96" s="200">
        <v>61.0</v>
      </c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79" t="s">
        <v>443</v>
      </c>
      <c r="B101" s="152"/>
      <c r="C101" s="152"/>
      <c r="D101" s="153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54"/>
      <c r="B102" s="155" t="s">
        <v>5</v>
      </c>
      <c r="C102" s="155" t="s">
        <v>277</v>
      </c>
      <c r="D102" s="155" t="s">
        <v>7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55" t="s">
        <v>278</v>
      </c>
      <c r="B103" s="154">
        <v>0.0</v>
      </c>
      <c r="C103" s="154">
        <v>0.0</v>
      </c>
      <c r="D103" s="154">
        <v>76.0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55" t="s">
        <v>279</v>
      </c>
      <c r="B104" s="154">
        <v>0.0</v>
      </c>
      <c r="C104" s="154">
        <v>0.0</v>
      </c>
      <c r="D104" s="154">
        <v>9.0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55" t="s">
        <v>280</v>
      </c>
      <c r="B105" s="154">
        <v>0.0</v>
      </c>
      <c r="C105" s="154">
        <v>0.0</v>
      </c>
      <c r="D105" s="154">
        <v>0.0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55" t="s">
        <v>281</v>
      </c>
      <c r="B106" s="154">
        <v>0.0</v>
      </c>
      <c r="C106" s="154">
        <v>0.0</v>
      </c>
      <c r="D106" s="154">
        <v>0.0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56" t="s">
        <v>282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57" t="s">
        <v>8</v>
      </c>
      <c r="B110" s="158"/>
      <c r="C110" s="158"/>
      <c r="D110" s="158"/>
      <c r="E110" s="157" t="s">
        <v>283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59" t="s">
        <v>284</v>
      </c>
      <c r="B111" s="158"/>
      <c r="C111" s="158"/>
      <c r="D111" s="158"/>
      <c r="E111" s="160" t="s">
        <v>24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61" t="s">
        <v>285</v>
      </c>
      <c r="B112" s="158"/>
      <c r="C112" s="158"/>
      <c r="D112" s="158"/>
      <c r="E112" s="162" t="s">
        <v>12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63" t="s">
        <v>286</v>
      </c>
      <c r="B113" s="158"/>
      <c r="C113" s="158"/>
      <c r="D113" s="158"/>
      <c r="E113" s="164" t="s">
        <v>287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65" t="s">
        <v>288</v>
      </c>
      <c r="B114" s="158"/>
      <c r="C114" s="158"/>
      <c r="D114" s="158"/>
      <c r="E114" s="166" t="s">
        <v>10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67" t="s">
        <v>289</v>
      </c>
      <c r="B115" s="158"/>
      <c r="C115" s="158"/>
      <c r="D115" s="158"/>
      <c r="E115" s="168" t="s">
        <v>290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69" t="s">
        <v>291</v>
      </c>
      <c r="B116" s="158"/>
      <c r="C116" s="158"/>
      <c r="D116" s="158"/>
      <c r="E116" s="170" t="s">
        <v>292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71" t="s">
        <v>293</v>
      </c>
      <c r="B117" s="158"/>
      <c r="C117" s="158"/>
      <c r="D117" s="158"/>
      <c r="E117" s="172" t="s">
        <v>294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73" t="s">
        <v>295</v>
      </c>
      <c r="B118" s="158"/>
      <c r="C118" s="158"/>
      <c r="D118" s="158"/>
      <c r="E118" s="174" t="s">
        <v>11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75" t="s">
        <v>296</v>
      </c>
      <c r="B119" s="158"/>
      <c r="C119" s="158"/>
      <c r="D119" s="158"/>
      <c r="E119" s="176" t="s">
        <v>12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77" t="s">
        <v>297</v>
      </c>
      <c r="B120" s="158"/>
      <c r="C120" s="158"/>
      <c r="D120" s="158"/>
      <c r="E120" s="158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78" t="s">
        <v>298</v>
      </c>
      <c r="B121" s="158"/>
      <c r="C121" s="158"/>
      <c r="D121" s="158"/>
      <c r="E121" s="158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79" t="s">
        <v>299</v>
      </c>
      <c r="B122" s="158"/>
      <c r="C122" s="158"/>
      <c r="D122" s="158"/>
      <c r="E122" s="158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80" t="s">
        <v>300</v>
      </c>
      <c r="B123" s="158"/>
      <c r="C123" s="158"/>
      <c r="D123" s="158"/>
      <c r="E123" s="158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81" t="s">
        <v>301</v>
      </c>
      <c r="B124" s="158"/>
      <c r="C124" s="158"/>
      <c r="D124" s="158"/>
      <c r="E124" s="158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</sheetData>
  <mergeCells count="18">
    <mergeCell ref="B18:B20"/>
    <mergeCell ref="B21:B35"/>
    <mergeCell ref="B36:B50"/>
    <mergeCell ref="B51:B54"/>
    <mergeCell ref="B55:B74"/>
    <mergeCell ref="B75:B79"/>
    <mergeCell ref="B80:B83"/>
    <mergeCell ref="B84:B93"/>
    <mergeCell ref="A101:D101"/>
    <mergeCell ref="A109:E109"/>
    <mergeCell ref="G1:I1"/>
    <mergeCell ref="J1:L1"/>
    <mergeCell ref="M1:O1"/>
    <mergeCell ref="P1:R1"/>
    <mergeCell ref="A6:A20"/>
    <mergeCell ref="B6:B17"/>
    <mergeCell ref="A21:A95"/>
    <mergeCell ref="B94:B95"/>
  </mergeCells>
  <conditionalFormatting sqref="B3:D3 G4:R4">
    <cfRule type="cellIs" dxfId="14" priority="1" stopIfTrue="1" operator="equal">
      <formula>"Anu"</formula>
    </cfRule>
  </conditionalFormatting>
  <conditionalFormatting sqref="B3:D3 G4:R4">
    <cfRule type="cellIs" dxfId="0" priority="2" stopIfTrue="1" operator="equal">
      <formula>"Amrita"</formula>
    </cfRule>
  </conditionalFormatting>
  <conditionalFormatting sqref="B3:D3 G4:R4">
    <cfRule type="cellIs" dxfId="1" priority="3" stopIfTrue="1" operator="equal">
      <formula>"Soumya"</formula>
    </cfRule>
  </conditionalFormatting>
  <conditionalFormatting sqref="B3:D3 G4:R4">
    <cfRule type="cellIs" dxfId="2" priority="4" stopIfTrue="1" operator="equal">
      <formula>"Hannah"</formula>
    </cfRule>
  </conditionalFormatting>
  <conditionalFormatting sqref="B3:D3 G4:R4">
    <cfRule type="cellIs" dxfId="4" priority="5" stopIfTrue="1" operator="equal">
      <formula>"Nitin"</formula>
    </cfRule>
  </conditionalFormatting>
  <conditionalFormatting sqref="B3:D3 G4:R4">
    <cfRule type="cellIs" dxfId="15" priority="6" stopIfTrue="1" operator="equal">
      <formula>"Pankhuri"</formula>
    </cfRule>
  </conditionalFormatting>
  <conditionalFormatting sqref="B3:D3 G4:R4">
    <cfRule type="cellIs" dxfId="5" priority="7" stopIfTrue="1" operator="equal">
      <formula>"Ramakrishna"</formula>
    </cfRule>
  </conditionalFormatting>
  <conditionalFormatting sqref="B3:D3 G4:R4">
    <cfRule type="cellIs" dxfId="6" priority="8" stopIfTrue="1" operator="equal">
      <formula>"Abdul"</formula>
    </cfRule>
  </conditionalFormatting>
  <conditionalFormatting sqref="B3:D3 G4:R4">
    <cfRule type="cellIs" dxfId="7" priority="9" stopIfTrue="1" operator="equal">
      <formula>"Saheli"</formula>
    </cfRule>
  </conditionalFormatting>
  <conditionalFormatting sqref="B3:D3 G4:R4">
    <cfRule type="cellIs" dxfId="8" priority="10" stopIfTrue="1" operator="equal">
      <formula>"Matt"</formula>
    </cfRule>
  </conditionalFormatting>
  <conditionalFormatting sqref="B3:D3 G4:R4">
    <cfRule type="cellIs" dxfId="9" priority="11" stopIfTrue="1" operator="equal">
      <formula>"Vishnu"</formula>
    </cfRule>
  </conditionalFormatting>
  <conditionalFormatting sqref="B3:D3 G4:R4">
    <cfRule type="cellIs" dxfId="10" priority="12" stopIfTrue="1" operator="equal">
      <formula>"Ivy"</formula>
    </cfRule>
  </conditionalFormatting>
  <conditionalFormatting sqref="B3:D3 G4:R4">
    <cfRule type="cellIs" dxfId="11" priority="13" stopIfTrue="1" operator="equal">
      <formula>"Rupal"</formula>
    </cfRule>
  </conditionalFormatting>
  <conditionalFormatting sqref="B3:D3 G4:R4">
    <cfRule type="cellIs" dxfId="25" priority="14" stopIfTrue="1" operator="equal">
      <formula>"Utkarsh"</formula>
    </cfRule>
  </conditionalFormatting>
  <conditionalFormatting sqref="G6:R95">
    <cfRule type="cellIs" dxfId="16" priority="15" stopIfTrue="1" operator="equal">
      <formula>"OK"</formula>
    </cfRule>
  </conditionalFormatting>
  <conditionalFormatting sqref="B3:D3 G4:R4 G6:R95">
    <cfRule type="cellIs" dxfId="18" priority="16" stopIfTrue="1" operator="equal">
      <formula>"Not Tested"</formula>
    </cfRule>
  </conditionalFormatting>
  <conditionalFormatting sqref="G6:R95">
    <cfRule type="cellIs" dxfId="19" priority="17" stopIfTrue="1" operator="equal">
      <formula>"N/A"</formula>
    </cfRule>
  </conditionalFormatting>
  <conditionalFormatting sqref="B2:D2 G3:R3">
    <cfRule type="containsText" dxfId="20" priority="18" stopIfTrue="1" operator="containsText" text="Incomplete">
      <formula>NOT(ISERROR(SEARCH(("Incomplete"),(B2))))</formula>
    </cfRule>
  </conditionalFormatting>
  <conditionalFormatting sqref="B2:D2 G3:R3">
    <cfRule type="containsText" dxfId="17" priority="19" stopIfTrue="1" operator="containsText" text="Broken">
      <formula>NOT(ISERROR(SEARCH(("Broken"),(B2))))</formula>
    </cfRule>
  </conditionalFormatting>
  <conditionalFormatting sqref="B2:D2 G3:R3">
    <cfRule type="containsText" dxfId="21" priority="20" stopIfTrue="1" operator="containsText" text="Some problems">
      <formula>NOT(ISERROR(SEARCH(("Some problems"),(B2))))</formula>
    </cfRule>
  </conditionalFormatting>
  <conditionalFormatting sqref="B2:D2 G3:R3">
    <cfRule type="containsText" dxfId="22" priority="21" stopIfTrue="1" operator="containsText" text="All OK">
      <formula>NOT(ISERROR(SEARCH(("All OK"),(B2))))</formula>
    </cfRule>
  </conditionalFormatting>
  <conditionalFormatting sqref="B2:D2 G3:R3">
    <cfRule type="containsText" dxfId="23" priority="22" stopIfTrue="1" operator="containsText" text="In Progress">
      <formula>NOT(ISERROR(SEARCH(("In Progress"),(B2))))</formula>
    </cfRule>
  </conditionalFormatting>
  <conditionalFormatting sqref="B2:D2 G3:R3">
    <cfRule type="containsText" dxfId="24" priority="23" stopIfTrue="1" operator="containsText" text="Not Tested">
      <formula>NOT(ISERROR(SEARCH(("Not Tested"),(B2))))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444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444</v>
      </c>
      <c r="H1" s="6"/>
      <c r="I1" s="7"/>
      <c r="J1" s="5" t="s">
        <v>445</v>
      </c>
      <c r="K1" s="6"/>
      <c r="L1" s="7"/>
      <c r="M1" s="5" t="s">
        <v>446</v>
      </c>
      <c r="N1" s="6"/>
      <c r="O1" s="7"/>
      <c r="P1" s="5" t="s">
        <v>447</v>
      </c>
      <c r="Q1" s="6"/>
      <c r="R1" s="7"/>
    </row>
    <row r="2">
      <c r="A2" s="8"/>
      <c r="B2" s="9" t="s">
        <v>10</v>
      </c>
      <c r="C2" s="9" t="s">
        <v>10</v>
      </c>
      <c r="D2" s="9" t="s">
        <v>448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  <c r="P2" s="12" t="s">
        <v>5</v>
      </c>
      <c r="Q2" s="12" t="s">
        <v>6</v>
      </c>
      <c r="R2" s="12" t="s">
        <v>7</v>
      </c>
    </row>
    <row r="3">
      <c r="A3" s="13" t="s">
        <v>8</v>
      </c>
      <c r="B3" s="9" t="s">
        <v>12</v>
      </c>
      <c r="C3" s="9" t="s">
        <v>12</v>
      </c>
      <c r="D3" s="9" t="s">
        <v>297</v>
      </c>
      <c r="E3" s="10"/>
      <c r="F3" s="14" t="s">
        <v>9</v>
      </c>
      <c r="G3" s="15" t="s">
        <v>10</v>
      </c>
      <c r="H3" s="15" t="s">
        <v>10</v>
      </c>
      <c r="I3" s="15" t="s">
        <v>11</v>
      </c>
      <c r="J3" s="15" t="s">
        <v>11</v>
      </c>
      <c r="K3" s="15" t="s">
        <v>10</v>
      </c>
      <c r="L3" s="15" t="s">
        <v>10</v>
      </c>
      <c r="M3" s="15" t="s">
        <v>12</v>
      </c>
      <c r="N3" s="15" t="s">
        <v>10</v>
      </c>
      <c r="O3" s="15" t="s">
        <v>10</v>
      </c>
      <c r="P3" s="15" t="s">
        <v>10</v>
      </c>
      <c r="Q3" s="15" t="s">
        <v>10</v>
      </c>
      <c r="R3" s="15" t="s">
        <v>11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12</v>
      </c>
      <c r="I4" s="15" t="s">
        <v>297</v>
      </c>
      <c r="J4" s="15" t="s">
        <v>297</v>
      </c>
      <c r="K4" s="15" t="s">
        <v>12</v>
      </c>
      <c r="L4" s="15" t="s">
        <v>12</v>
      </c>
      <c r="M4" s="15" t="s">
        <v>12</v>
      </c>
      <c r="N4" s="15" t="s">
        <v>291</v>
      </c>
      <c r="O4" s="15" t="s">
        <v>12</v>
      </c>
      <c r="P4" s="15" t="s">
        <v>12</v>
      </c>
      <c r="Q4" s="15" t="s">
        <v>12</v>
      </c>
      <c r="R4" s="15" t="s">
        <v>297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  <c r="M5" s="21"/>
      <c r="N5" s="21"/>
      <c r="O5" s="22"/>
      <c r="P5" s="21"/>
      <c r="Q5" s="21"/>
      <c r="R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48"/>
      <c r="H6" s="260"/>
      <c r="I6" s="244" t="s">
        <v>24</v>
      </c>
      <c r="J6" s="248" t="s">
        <v>24</v>
      </c>
      <c r="K6" s="260"/>
      <c r="L6" s="244"/>
      <c r="M6" s="248" t="s">
        <v>12</v>
      </c>
      <c r="N6" s="260"/>
      <c r="O6" s="244" t="s">
        <v>12</v>
      </c>
      <c r="P6" s="248"/>
      <c r="Q6" s="260"/>
      <c r="R6" s="244" t="s">
        <v>24</v>
      </c>
    </row>
    <row r="7">
      <c r="A7" s="32"/>
      <c r="B7" s="32"/>
      <c r="C7" s="142" t="s">
        <v>421</v>
      </c>
      <c r="D7" s="10"/>
      <c r="E7" s="245" t="s">
        <v>96</v>
      </c>
      <c r="F7" s="17"/>
      <c r="G7" s="248"/>
      <c r="H7" s="259"/>
      <c r="I7" s="244"/>
      <c r="J7" s="248"/>
      <c r="K7" s="259"/>
      <c r="L7" s="244"/>
      <c r="M7" s="248" t="s">
        <v>12</v>
      </c>
      <c r="N7" s="259"/>
      <c r="O7" s="244" t="s">
        <v>12</v>
      </c>
      <c r="P7" s="248"/>
      <c r="Q7" s="259"/>
      <c r="R7" s="296" t="s">
        <v>24</v>
      </c>
    </row>
    <row r="8">
      <c r="A8" s="32"/>
      <c r="B8" s="32"/>
      <c r="C8" s="91" t="s">
        <v>345</v>
      </c>
      <c r="D8" s="10"/>
      <c r="E8" s="247" t="s">
        <v>383</v>
      </c>
      <c r="F8" s="17"/>
      <c r="G8" s="248"/>
      <c r="H8" s="259"/>
      <c r="I8" s="244" t="s">
        <v>24</v>
      </c>
      <c r="J8" s="248" t="s">
        <v>24</v>
      </c>
      <c r="K8" s="259"/>
      <c r="L8" s="244"/>
      <c r="M8" s="248" t="s">
        <v>12</v>
      </c>
      <c r="N8" s="259"/>
      <c r="O8" s="244" t="s">
        <v>12</v>
      </c>
      <c r="P8" s="248"/>
      <c r="Q8" s="259"/>
      <c r="R8" s="296" t="s">
        <v>24</v>
      </c>
    </row>
    <row r="9">
      <c r="A9" s="32"/>
      <c r="B9" s="32"/>
      <c r="C9" s="91" t="s">
        <v>347</v>
      </c>
      <c r="D9" s="10"/>
      <c r="E9" s="249" t="s">
        <v>308</v>
      </c>
      <c r="F9" s="17"/>
      <c r="G9" s="244"/>
      <c r="H9" s="260"/>
      <c r="I9" s="244" t="s">
        <v>24</v>
      </c>
      <c r="J9" s="286" t="s">
        <v>449</v>
      </c>
      <c r="K9" s="260"/>
      <c r="L9" s="244"/>
      <c r="M9" s="248" t="s">
        <v>12</v>
      </c>
      <c r="N9" s="260"/>
      <c r="O9" s="244" t="s">
        <v>12</v>
      </c>
      <c r="P9" s="248"/>
      <c r="Q9" s="260"/>
      <c r="R9" s="274" t="s">
        <v>24</v>
      </c>
    </row>
    <row r="10">
      <c r="A10" s="32"/>
      <c r="B10" s="32"/>
      <c r="C10" s="87" t="s">
        <v>348</v>
      </c>
      <c r="D10" s="10"/>
      <c r="E10" s="245" t="s">
        <v>77</v>
      </c>
      <c r="F10" s="17"/>
      <c r="G10" s="248"/>
      <c r="H10" s="260"/>
      <c r="I10" s="244" t="s">
        <v>24</v>
      </c>
      <c r="J10" s="248" t="s">
        <v>24</v>
      </c>
      <c r="K10" s="260"/>
      <c r="L10" s="244"/>
      <c r="M10" s="248" t="s">
        <v>12</v>
      </c>
      <c r="N10" s="260"/>
      <c r="O10" s="244" t="s">
        <v>12</v>
      </c>
      <c r="P10" s="248"/>
      <c r="Q10" s="260"/>
      <c r="R10" s="262" t="s">
        <v>24</v>
      </c>
    </row>
    <row r="11">
      <c r="A11" s="32"/>
      <c r="B11" s="32"/>
      <c r="C11" s="87" t="s">
        <v>349</v>
      </c>
      <c r="D11" s="10"/>
      <c r="E11" s="245" t="s">
        <v>100</v>
      </c>
      <c r="F11" s="17"/>
      <c r="G11" s="248"/>
      <c r="H11" s="260"/>
      <c r="I11" s="244" t="s">
        <v>24</v>
      </c>
      <c r="J11" s="248"/>
      <c r="K11" s="260"/>
      <c r="L11" s="244"/>
      <c r="M11" s="248" t="s">
        <v>12</v>
      </c>
      <c r="N11" s="260"/>
      <c r="O11" s="244" t="s">
        <v>12</v>
      </c>
      <c r="P11" s="248"/>
      <c r="Q11" s="260"/>
      <c r="R11" s="297" t="s">
        <v>24</v>
      </c>
    </row>
    <row r="12">
      <c r="A12" s="32"/>
      <c r="B12" s="32"/>
      <c r="C12" s="87" t="s">
        <v>350</v>
      </c>
      <c r="D12" s="10"/>
      <c r="E12" s="10"/>
      <c r="F12" s="212" t="s">
        <v>351</v>
      </c>
      <c r="G12" s="248"/>
      <c r="H12" s="260"/>
      <c r="I12" s="244" t="s">
        <v>24</v>
      </c>
      <c r="J12" s="248"/>
      <c r="K12" s="260"/>
      <c r="L12" s="244"/>
      <c r="M12" s="248" t="s">
        <v>12</v>
      </c>
      <c r="N12" s="260"/>
      <c r="O12" s="244" t="s">
        <v>12</v>
      </c>
      <c r="P12" s="248"/>
      <c r="Q12" s="260"/>
      <c r="R12" s="244" t="s">
        <v>24</v>
      </c>
    </row>
    <row r="13">
      <c r="A13" s="32"/>
      <c r="B13" s="32"/>
      <c r="C13" s="77" t="s">
        <v>354</v>
      </c>
      <c r="D13" s="10"/>
      <c r="E13" s="10"/>
      <c r="F13" s="213" t="s">
        <v>83</v>
      </c>
      <c r="G13" s="248"/>
      <c r="H13" s="260"/>
      <c r="I13" s="244" t="s">
        <v>24</v>
      </c>
      <c r="J13" s="248" t="s">
        <v>24</v>
      </c>
      <c r="K13" s="260"/>
      <c r="L13" s="244"/>
      <c r="M13" s="248" t="s">
        <v>12</v>
      </c>
      <c r="N13" s="260"/>
      <c r="O13" s="244" t="s">
        <v>12</v>
      </c>
      <c r="P13" s="248"/>
      <c r="Q13" s="260"/>
      <c r="R13" s="262" t="s">
        <v>24</v>
      </c>
    </row>
    <row r="14">
      <c r="A14" s="32"/>
      <c r="B14" s="32"/>
      <c r="C14" s="214" t="s">
        <v>355</v>
      </c>
      <c r="D14" s="10"/>
      <c r="E14" s="245" t="s">
        <v>34</v>
      </c>
      <c r="F14" s="17"/>
      <c r="G14" s="248"/>
      <c r="H14" s="259"/>
      <c r="I14" s="244" t="s">
        <v>24</v>
      </c>
      <c r="J14" s="248" t="s">
        <v>24</v>
      </c>
      <c r="K14" s="259"/>
      <c r="L14" s="244"/>
      <c r="M14" s="248" t="s">
        <v>12</v>
      </c>
      <c r="N14" s="259"/>
      <c r="O14" s="244" t="s">
        <v>12</v>
      </c>
      <c r="P14" s="248"/>
      <c r="Q14" s="259"/>
      <c r="R14" s="298" t="s">
        <v>24</v>
      </c>
    </row>
    <row r="15">
      <c r="A15" s="32"/>
      <c r="B15" s="32"/>
      <c r="C15" s="77" t="s">
        <v>357</v>
      </c>
      <c r="D15" s="10"/>
      <c r="E15" s="245" t="s">
        <v>34</v>
      </c>
      <c r="F15" s="17"/>
      <c r="G15" s="248"/>
      <c r="H15" s="260"/>
      <c r="I15" s="244" t="s">
        <v>24</v>
      </c>
      <c r="J15" s="248" t="s">
        <v>24</v>
      </c>
      <c r="K15" s="260"/>
      <c r="L15" s="244"/>
      <c r="M15" s="248" t="s">
        <v>12</v>
      </c>
      <c r="N15" s="260"/>
      <c r="O15" s="244" t="s">
        <v>12</v>
      </c>
      <c r="P15" s="248"/>
      <c r="Q15" s="260"/>
      <c r="R15" s="262" t="s">
        <v>24</v>
      </c>
    </row>
    <row r="16">
      <c r="A16" s="32"/>
      <c r="B16" s="37"/>
      <c r="C16" s="77" t="s">
        <v>396</v>
      </c>
      <c r="D16" s="10"/>
      <c r="E16" s="245" t="s">
        <v>100</v>
      </c>
      <c r="F16" s="213" t="s">
        <v>103</v>
      </c>
      <c r="G16" s="251"/>
      <c r="H16" s="251"/>
      <c r="I16" s="244" t="s">
        <v>24</v>
      </c>
      <c r="J16" s="282" t="s">
        <v>450</v>
      </c>
      <c r="K16" s="251"/>
      <c r="L16" s="244"/>
      <c r="M16" s="248" t="s">
        <v>12</v>
      </c>
      <c r="N16" s="251"/>
      <c r="O16" s="244" t="s">
        <v>12</v>
      </c>
      <c r="P16" s="248"/>
      <c r="Q16" s="251"/>
      <c r="R16" s="299" t="s">
        <v>450</v>
      </c>
    </row>
    <row r="17">
      <c r="A17" s="32"/>
      <c r="B17" s="216" t="s">
        <v>362</v>
      </c>
      <c r="C17" s="204" t="s">
        <v>363</v>
      </c>
      <c r="D17" s="10"/>
      <c r="E17" s="10"/>
      <c r="F17" s="213" t="s">
        <v>364</v>
      </c>
      <c r="G17" s="244"/>
      <c r="H17" s="258"/>
      <c r="I17" s="244" t="s">
        <v>24</v>
      </c>
      <c r="J17" s="286" t="s">
        <v>449</v>
      </c>
      <c r="K17" s="258"/>
      <c r="L17" s="244"/>
      <c r="M17" s="248" t="s">
        <v>12</v>
      </c>
      <c r="N17" s="258"/>
      <c r="O17" s="244" t="s">
        <v>12</v>
      </c>
      <c r="P17" s="258"/>
      <c r="Q17" s="258"/>
      <c r="R17" s="285" t="s">
        <v>451</v>
      </c>
    </row>
    <row r="18">
      <c r="A18" s="32"/>
      <c r="B18" s="32"/>
      <c r="C18" s="204" t="s">
        <v>365</v>
      </c>
      <c r="D18" s="10"/>
      <c r="E18" s="10"/>
      <c r="F18" s="212" t="s">
        <v>105</v>
      </c>
      <c r="G18" s="248"/>
      <c r="H18" s="260"/>
      <c r="I18" s="244" t="s">
        <v>24</v>
      </c>
      <c r="J18" s="248"/>
      <c r="K18" s="260"/>
      <c r="L18" s="244"/>
      <c r="M18" s="248" t="s">
        <v>12</v>
      </c>
      <c r="N18" s="260"/>
      <c r="O18" s="244" t="s">
        <v>12</v>
      </c>
      <c r="P18" s="248"/>
      <c r="Q18" s="260"/>
      <c r="R18" s="262" t="s">
        <v>24</v>
      </c>
    </row>
    <row r="19">
      <c r="A19" s="32"/>
      <c r="B19" s="37"/>
      <c r="C19" s="217" t="s">
        <v>366</v>
      </c>
      <c r="D19" s="10"/>
      <c r="E19" s="10"/>
      <c r="F19" s="212" t="s">
        <v>107</v>
      </c>
      <c r="G19" s="248"/>
      <c r="H19" s="260"/>
      <c r="I19" s="244"/>
      <c r="J19" s="248"/>
      <c r="K19" s="260"/>
      <c r="L19" s="244"/>
      <c r="M19" s="248" t="s">
        <v>12</v>
      </c>
      <c r="N19" s="260"/>
      <c r="O19" s="244" t="s">
        <v>12</v>
      </c>
      <c r="P19" s="248"/>
      <c r="Q19" s="260"/>
      <c r="R19" s="262" t="s">
        <v>24</v>
      </c>
    </row>
    <row r="20">
      <c r="A20" s="203" t="s">
        <v>108</v>
      </c>
      <c r="B20" s="102" t="s">
        <v>109</v>
      </c>
      <c r="C20" s="77" t="s">
        <v>110</v>
      </c>
      <c r="D20" s="10"/>
      <c r="E20" s="10"/>
      <c r="F20" s="17"/>
      <c r="G20" s="248"/>
      <c r="H20" s="260"/>
      <c r="I20" s="244" t="s">
        <v>24</v>
      </c>
      <c r="J20" s="248"/>
      <c r="K20" s="260"/>
      <c r="L20" s="244"/>
      <c r="M20" s="248" t="s">
        <v>12</v>
      </c>
      <c r="N20" s="260"/>
      <c r="O20" s="244" t="s">
        <v>12</v>
      </c>
      <c r="P20" s="248"/>
      <c r="Q20" s="260"/>
      <c r="R20" s="262" t="s">
        <v>24</v>
      </c>
    </row>
    <row r="21">
      <c r="A21" s="32"/>
      <c r="B21" s="32"/>
      <c r="C21" s="77" t="s">
        <v>112</v>
      </c>
      <c r="D21" s="10"/>
      <c r="E21" s="10"/>
      <c r="F21" s="17"/>
      <c r="G21" s="248"/>
      <c r="H21" s="262"/>
      <c r="I21" s="244" t="s">
        <v>24</v>
      </c>
      <c r="J21" s="248" t="s">
        <v>24</v>
      </c>
      <c r="K21" s="262"/>
      <c r="L21" s="244"/>
      <c r="M21" s="248" t="s">
        <v>12</v>
      </c>
      <c r="N21" s="262"/>
      <c r="O21" s="244" t="s">
        <v>12</v>
      </c>
      <c r="P21" s="248"/>
      <c r="Q21" s="262"/>
      <c r="R21" s="262" t="s">
        <v>24</v>
      </c>
    </row>
    <row r="22">
      <c r="A22" s="32"/>
      <c r="B22" s="32"/>
      <c r="C22" s="83" t="s">
        <v>114</v>
      </c>
      <c r="D22" s="10"/>
      <c r="E22" s="243" t="s">
        <v>115</v>
      </c>
      <c r="F22" s="17"/>
      <c r="G22" s="248"/>
      <c r="H22" s="260"/>
      <c r="I22" s="244" t="s">
        <v>24</v>
      </c>
      <c r="J22" s="248" t="s">
        <v>24</v>
      </c>
      <c r="K22" s="260"/>
      <c r="L22" s="244"/>
      <c r="M22" s="248" t="s">
        <v>12</v>
      </c>
      <c r="N22" s="260"/>
      <c r="O22" s="244" t="s">
        <v>12</v>
      </c>
      <c r="P22" s="248"/>
      <c r="Q22" s="260"/>
      <c r="R22" s="262" t="s">
        <v>24</v>
      </c>
    </row>
    <row r="23">
      <c r="A23" s="32"/>
      <c r="B23" s="32"/>
      <c r="C23" s="85" t="s">
        <v>116</v>
      </c>
      <c r="D23" s="10"/>
      <c r="E23" s="10"/>
      <c r="F23" s="213" t="s">
        <v>117</v>
      </c>
      <c r="G23" s="248"/>
      <c r="H23" s="260"/>
      <c r="I23" s="244" t="s">
        <v>24</v>
      </c>
      <c r="J23" s="248" t="s">
        <v>24</v>
      </c>
      <c r="K23" s="260"/>
      <c r="L23" s="244"/>
      <c r="M23" s="248" t="s">
        <v>12</v>
      </c>
      <c r="N23" s="260"/>
      <c r="O23" s="244" t="s">
        <v>12</v>
      </c>
      <c r="P23" s="248"/>
      <c r="Q23" s="260"/>
      <c r="R23" s="262" t="s">
        <v>24</v>
      </c>
    </row>
    <row r="24">
      <c r="A24" s="32"/>
      <c r="B24" s="32"/>
      <c r="C24" s="87" t="s">
        <v>118</v>
      </c>
      <c r="D24" s="10"/>
      <c r="E24" s="252" t="s">
        <v>386</v>
      </c>
      <c r="F24" s="213"/>
      <c r="G24" s="248"/>
      <c r="H24" s="260"/>
      <c r="I24" s="244" t="s">
        <v>24</v>
      </c>
      <c r="J24" s="248" t="s">
        <v>24</v>
      </c>
      <c r="K24" s="260"/>
      <c r="L24" s="244"/>
      <c r="M24" s="248" t="s">
        <v>12</v>
      </c>
      <c r="N24" s="260"/>
      <c r="O24" s="244" t="s">
        <v>12</v>
      </c>
      <c r="P24" s="248"/>
      <c r="Q24" s="260"/>
      <c r="R24" s="262" t="s">
        <v>24</v>
      </c>
    </row>
    <row r="25">
      <c r="A25" s="32"/>
      <c r="B25" s="32"/>
      <c r="C25" s="90" t="s">
        <v>120</v>
      </c>
      <c r="D25" s="10"/>
      <c r="E25" s="252" t="s">
        <v>121</v>
      </c>
      <c r="F25" s="213" t="s">
        <v>122</v>
      </c>
      <c r="G25" s="248"/>
      <c r="H25" s="260"/>
      <c r="I25" s="244" t="s">
        <v>24</v>
      </c>
      <c r="J25" s="248"/>
      <c r="K25" s="260"/>
      <c r="L25" s="244"/>
      <c r="M25" s="248" t="s">
        <v>12</v>
      </c>
      <c r="N25" s="260"/>
      <c r="O25" s="244" t="s">
        <v>12</v>
      </c>
      <c r="P25" s="248"/>
      <c r="Q25" s="260"/>
      <c r="R25" s="262"/>
    </row>
    <row r="26">
      <c r="A26" s="32"/>
      <c r="B26" s="32"/>
      <c r="C26" s="91" t="s">
        <v>123</v>
      </c>
      <c r="D26" s="10"/>
      <c r="E26" s="10"/>
      <c r="F26" s="213" t="s">
        <v>124</v>
      </c>
      <c r="G26" s="248"/>
      <c r="H26" s="258"/>
      <c r="I26" s="244" t="s">
        <v>24</v>
      </c>
      <c r="J26" s="248"/>
      <c r="K26" s="258"/>
      <c r="L26" s="244"/>
      <c r="M26" s="248" t="s">
        <v>12</v>
      </c>
      <c r="N26" s="258"/>
      <c r="O26" s="244" t="s">
        <v>12</v>
      </c>
      <c r="P26" s="258"/>
      <c r="Q26" s="258"/>
      <c r="R26" s="244"/>
    </row>
    <row r="27">
      <c r="A27" s="32"/>
      <c r="B27" s="32"/>
      <c r="C27" s="92" t="s">
        <v>125</v>
      </c>
      <c r="D27" s="10"/>
      <c r="E27" s="10"/>
      <c r="F27" s="213" t="s">
        <v>126</v>
      </c>
      <c r="G27" s="248"/>
      <c r="H27" s="244"/>
      <c r="I27" s="286" t="s">
        <v>452</v>
      </c>
      <c r="J27" s="248"/>
      <c r="K27" s="244"/>
      <c r="L27" s="244"/>
      <c r="M27" s="248" t="s">
        <v>12</v>
      </c>
      <c r="N27" s="244"/>
      <c r="O27" s="244" t="s">
        <v>12</v>
      </c>
      <c r="P27" s="258"/>
      <c r="Q27" s="244"/>
      <c r="R27" s="244"/>
    </row>
    <row r="28">
      <c r="A28" s="32"/>
      <c r="B28" s="32"/>
      <c r="C28" s="77" t="s">
        <v>127</v>
      </c>
      <c r="D28" s="10"/>
      <c r="E28" s="10"/>
      <c r="F28" s="213" t="s">
        <v>128</v>
      </c>
      <c r="G28" s="248"/>
      <c r="H28" s="258"/>
      <c r="I28" s="244" t="s">
        <v>24</v>
      </c>
      <c r="J28" s="248"/>
      <c r="K28" s="258"/>
      <c r="L28" s="244"/>
      <c r="M28" s="248" t="s">
        <v>12</v>
      </c>
      <c r="N28" s="258"/>
      <c r="O28" s="244" t="s">
        <v>12</v>
      </c>
      <c r="P28" s="258"/>
      <c r="Q28" s="258"/>
      <c r="R28" s="244"/>
    </row>
    <row r="29">
      <c r="A29" s="32"/>
      <c r="B29" s="32"/>
      <c r="C29" s="93" t="s">
        <v>129</v>
      </c>
      <c r="D29" s="10"/>
      <c r="E29" s="245" t="s">
        <v>313</v>
      </c>
      <c r="F29" s="17"/>
      <c r="G29" s="244"/>
      <c r="H29" s="258"/>
      <c r="I29" s="244" t="s">
        <v>24</v>
      </c>
      <c r="J29" s="286" t="s">
        <v>449</v>
      </c>
      <c r="K29" s="258"/>
      <c r="L29" s="244"/>
      <c r="M29" s="248" t="s">
        <v>12</v>
      </c>
      <c r="N29" s="258"/>
      <c r="O29" s="244" t="s">
        <v>12</v>
      </c>
      <c r="P29" s="248"/>
      <c r="Q29" s="258"/>
      <c r="R29" s="262"/>
    </row>
    <row r="30">
      <c r="A30" s="32"/>
      <c r="B30" s="32"/>
      <c r="C30" s="92" t="s">
        <v>368</v>
      </c>
      <c r="D30" s="10"/>
      <c r="E30" s="10"/>
      <c r="F30" s="17"/>
      <c r="G30" s="248"/>
      <c r="H30" s="260"/>
      <c r="I30" s="244" t="s">
        <v>24</v>
      </c>
      <c r="J30" s="248" t="s">
        <v>24</v>
      </c>
      <c r="K30" s="260"/>
      <c r="L30" s="244"/>
      <c r="M30" s="248" t="s">
        <v>12</v>
      </c>
      <c r="N30" s="260"/>
      <c r="O30" s="244" t="s">
        <v>12</v>
      </c>
      <c r="P30" s="248"/>
      <c r="Q30" s="260"/>
      <c r="R30" s="262"/>
    </row>
    <row r="31">
      <c r="A31" s="32"/>
      <c r="B31" s="32"/>
      <c r="C31" s="98" t="s">
        <v>134</v>
      </c>
      <c r="D31" s="10"/>
      <c r="E31" s="10"/>
      <c r="F31" s="221" t="s">
        <v>136</v>
      </c>
      <c r="G31" s="244"/>
      <c r="H31" s="260"/>
      <c r="I31" s="244" t="s">
        <v>24</v>
      </c>
      <c r="J31" s="286" t="s">
        <v>449</v>
      </c>
      <c r="K31" s="260"/>
      <c r="L31" s="244"/>
      <c r="M31" s="248" t="s">
        <v>12</v>
      </c>
      <c r="N31" s="260"/>
      <c r="O31" s="244" t="s">
        <v>12</v>
      </c>
      <c r="P31" s="248"/>
      <c r="Q31" s="260"/>
      <c r="R31" s="285" t="s">
        <v>449</v>
      </c>
    </row>
    <row r="32">
      <c r="A32" s="32"/>
      <c r="B32" s="32"/>
      <c r="C32" s="92" t="s">
        <v>137</v>
      </c>
      <c r="D32" s="10"/>
      <c r="E32" s="10"/>
      <c r="F32" s="17"/>
      <c r="G32" s="248"/>
      <c r="H32" s="259"/>
      <c r="I32" s="244" t="s">
        <v>24</v>
      </c>
      <c r="J32" s="248" t="s">
        <v>24</v>
      </c>
      <c r="K32" s="259"/>
      <c r="L32" s="244"/>
      <c r="M32" s="248" t="s">
        <v>12</v>
      </c>
      <c r="N32" s="259"/>
      <c r="O32" s="244" t="s">
        <v>12</v>
      </c>
      <c r="P32" s="248"/>
      <c r="Q32" s="259"/>
      <c r="R32" s="262"/>
    </row>
    <row r="33">
      <c r="A33" s="32"/>
      <c r="B33" s="32"/>
      <c r="C33" s="92" t="s">
        <v>138</v>
      </c>
      <c r="D33" s="10"/>
      <c r="E33" s="10"/>
      <c r="F33" s="17"/>
      <c r="G33" s="248"/>
      <c r="H33" s="260"/>
      <c r="I33" s="244" t="s">
        <v>24</v>
      </c>
      <c r="J33" s="248" t="s">
        <v>24</v>
      </c>
      <c r="K33" s="260"/>
      <c r="L33" s="244"/>
      <c r="M33" s="248" t="s">
        <v>12</v>
      </c>
      <c r="N33" s="260"/>
      <c r="O33" s="244" t="s">
        <v>12</v>
      </c>
      <c r="P33" s="248"/>
      <c r="Q33" s="260"/>
      <c r="R33" s="262"/>
    </row>
    <row r="34">
      <c r="A34" s="32"/>
      <c r="B34" s="37"/>
      <c r="C34" s="101" t="s">
        <v>139</v>
      </c>
      <c r="D34" s="10"/>
      <c r="E34" s="10"/>
      <c r="F34" s="17"/>
      <c r="G34" s="248"/>
      <c r="H34" s="260"/>
      <c r="I34" s="244" t="s">
        <v>24</v>
      </c>
      <c r="J34" s="248" t="s">
        <v>24</v>
      </c>
      <c r="K34" s="260"/>
      <c r="L34" s="244"/>
      <c r="M34" s="248" t="s">
        <v>12</v>
      </c>
      <c r="N34" s="260"/>
      <c r="O34" s="244" t="s">
        <v>12</v>
      </c>
      <c r="P34" s="248"/>
      <c r="Q34" s="260"/>
      <c r="R34" s="262"/>
    </row>
    <row r="35">
      <c r="A35" s="32"/>
      <c r="B35" s="102" t="s">
        <v>140</v>
      </c>
      <c r="C35" s="103" t="s">
        <v>141</v>
      </c>
      <c r="D35" s="245" t="s">
        <v>180</v>
      </c>
      <c r="E35" s="245" t="s">
        <v>453</v>
      </c>
      <c r="F35" s="17"/>
      <c r="G35" s="244"/>
      <c r="H35" s="260"/>
      <c r="I35" s="279" t="s">
        <v>424</v>
      </c>
      <c r="J35" s="279" t="s">
        <v>424</v>
      </c>
      <c r="K35" s="260"/>
      <c r="L35" s="244"/>
      <c r="M35" s="248" t="s">
        <v>12</v>
      </c>
      <c r="N35" s="260"/>
      <c r="O35" s="244" t="s">
        <v>12</v>
      </c>
      <c r="P35" s="248"/>
      <c r="Q35" s="260"/>
      <c r="R35" s="279" t="s">
        <v>424</v>
      </c>
    </row>
    <row r="36">
      <c r="A36" s="32"/>
      <c r="B36" s="32"/>
      <c r="C36" s="93" t="s">
        <v>146</v>
      </c>
      <c r="D36" s="10"/>
      <c r="E36" s="10"/>
      <c r="F36" s="213" t="s">
        <v>147</v>
      </c>
      <c r="G36" s="248"/>
      <c r="H36" s="260"/>
      <c r="I36" s="244" t="s">
        <v>24</v>
      </c>
      <c r="J36" s="248" t="s">
        <v>24</v>
      </c>
      <c r="K36" s="260"/>
      <c r="L36" s="244"/>
      <c r="M36" s="248" t="s">
        <v>12</v>
      </c>
      <c r="N36" s="260"/>
      <c r="O36" s="244" t="s">
        <v>12</v>
      </c>
      <c r="P36" s="248"/>
      <c r="Q36" s="260"/>
      <c r="R36" s="262"/>
    </row>
    <row r="37">
      <c r="A37" s="32"/>
      <c r="B37" s="32"/>
      <c r="C37" s="107" t="s">
        <v>148</v>
      </c>
      <c r="D37" s="10"/>
      <c r="E37" s="10"/>
      <c r="F37" s="213" t="s">
        <v>149</v>
      </c>
      <c r="G37" s="248"/>
      <c r="H37" s="260"/>
      <c r="I37" s="244"/>
      <c r="J37" s="248"/>
      <c r="K37" s="260"/>
      <c r="L37" s="244"/>
      <c r="M37" s="248" t="s">
        <v>12</v>
      </c>
      <c r="N37" s="260"/>
      <c r="O37" s="244" t="s">
        <v>12</v>
      </c>
      <c r="P37" s="248"/>
      <c r="Q37" s="260"/>
      <c r="R37" s="274"/>
    </row>
    <row r="38">
      <c r="A38" s="32"/>
      <c r="B38" s="32"/>
      <c r="C38" s="108" t="s">
        <v>150</v>
      </c>
      <c r="D38" s="10"/>
      <c r="E38" s="10"/>
      <c r="F38" s="213" t="s">
        <v>149</v>
      </c>
      <c r="G38" s="248"/>
      <c r="H38" s="260"/>
      <c r="I38" s="244" t="s">
        <v>24</v>
      </c>
      <c r="J38" s="248"/>
      <c r="K38" s="260"/>
      <c r="L38" s="244"/>
      <c r="M38" s="248" t="s">
        <v>12</v>
      </c>
      <c r="N38" s="260"/>
      <c r="O38" s="244" t="s">
        <v>12</v>
      </c>
      <c r="P38" s="248"/>
      <c r="Q38" s="260"/>
      <c r="R38" s="262"/>
    </row>
    <row r="39">
      <c r="A39" s="32"/>
      <c r="B39" s="32"/>
      <c r="C39" s="109" t="s">
        <v>454</v>
      </c>
      <c r="D39" s="10"/>
      <c r="E39" s="10"/>
      <c r="F39" s="212" t="s">
        <v>153</v>
      </c>
      <c r="G39" s="246"/>
      <c r="H39" s="259"/>
      <c r="I39" s="244" t="s">
        <v>24</v>
      </c>
      <c r="J39" s="280" t="s">
        <v>153</v>
      </c>
      <c r="K39" s="259"/>
      <c r="L39" s="244"/>
      <c r="M39" s="248"/>
      <c r="N39" s="259"/>
      <c r="O39" s="244"/>
      <c r="P39" s="248"/>
      <c r="Q39" s="259"/>
      <c r="R39" s="286"/>
    </row>
    <row r="40">
      <c r="A40" s="32"/>
      <c r="B40" s="32"/>
      <c r="C40" s="110" t="s">
        <v>154</v>
      </c>
      <c r="D40" s="10"/>
      <c r="E40" s="10"/>
      <c r="F40" s="17"/>
      <c r="G40" s="248"/>
      <c r="H40" s="259"/>
      <c r="I40" s="244" t="s">
        <v>24</v>
      </c>
      <c r="J40" s="248" t="s">
        <v>24</v>
      </c>
      <c r="K40" s="259"/>
      <c r="L40" s="244"/>
      <c r="M40" s="248" t="s">
        <v>12</v>
      </c>
      <c r="N40" s="259"/>
      <c r="O40" s="244" t="s">
        <v>12</v>
      </c>
      <c r="P40" s="248"/>
      <c r="Q40" s="259"/>
      <c r="R40" s="286" t="s">
        <v>455</v>
      </c>
    </row>
    <row r="41">
      <c r="A41" s="32"/>
      <c r="B41" s="32"/>
      <c r="C41" s="111" t="s">
        <v>155</v>
      </c>
      <c r="D41" s="10"/>
      <c r="E41" s="10"/>
      <c r="F41" s="221" t="s">
        <v>397</v>
      </c>
      <c r="G41" s="251"/>
      <c r="H41" s="251"/>
      <c r="I41" s="251" t="s">
        <v>397</v>
      </c>
      <c r="J41" s="251" t="s">
        <v>397</v>
      </c>
      <c r="K41" s="251"/>
      <c r="L41" s="244"/>
      <c r="M41" s="248" t="s">
        <v>12</v>
      </c>
      <c r="N41" s="251"/>
      <c r="O41" s="244" t="s">
        <v>12</v>
      </c>
      <c r="P41" s="244"/>
      <c r="Q41" s="251"/>
      <c r="R41" s="251" t="s">
        <v>397</v>
      </c>
    </row>
    <row r="42">
      <c r="A42" s="32"/>
      <c r="B42" s="32"/>
      <c r="C42" s="112" t="s">
        <v>157</v>
      </c>
      <c r="D42" s="10"/>
      <c r="E42" s="243" t="s">
        <v>158</v>
      </c>
      <c r="F42" s="17"/>
      <c r="G42" s="248"/>
      <c r="H42" s="260"/>
      <c r="I42" s="244" t="s">
        <v>24</v>
      </c>
      <c r="J42" s="248"/>
      <c r="K42" s="260"/>
      <c r="L42" s="244"/>
      <c r="M42" s="248" t="s">
        <v>12</v>
      </c>
      <c r="N42" s="260"/>
      <c r="O42" s="244" t="s">
        <v>12</v>
      </c>
      <c r="P42" s="248"/>
      <c r="Q42" s="260"/>
      <c r="R42" s="244"/>
    </row>
    <row r="43">
      <c r="A43" s="32"/>
      <c r="B43" s="32"/>
      <c r="C43" s="83" t="s">
        <v>159</v>
      </c>
      <c r="D43" s="10"/>
      <c r="E43" s="10"/>
      <c r="F43" s="17"/>
      <c r="G43" s="246"/>
      <c r="H43" s="260"/>
      <c r="I43" s="300" t="s">
        <v>456</v>
      </c>
      <c r="J43" s="280" t="s">
        <v>456</v>
      </c>
      <c r="K43" s="260"/>
      <c r="L43" s="244"/>
      <c r="M43" s="248" t="s">
        <v>12</v>
      </c>
      <c r="N43" s="260"/>
      <c r="O43" s="244" t="s">
        <v>12</v>
      </c>
      <c r="P43" s="248"/>
      <c r="Q43" s="260"/>
      <c r="R43" s="262"/>
    </row>
    <row r="44">
      <c r="A44" s="32"/>
      <c r="B44" s="32"/>
      <c r="C44" s="93" t="s">
        <v>161</v>
      </c>
      <c r="D44" s="10"/>
      <c r="E44" s="10"/>
      <c r="F44" s="17"/>
      <c r="G44" s="248"/>
      <c r="H44" s="260"/>
      <c r="I44" s="244" t="s">
        <v>24</v>
      </c>
      <c r="J44" s="248" t="s">
        <v>24</v>
      </c>
      <c r="K44" s="260"/>
      <c r="L44" s="244"/>
      <c r="M44" s="248" t="s">
        <v>12</v>
      </c>
      <c r="N44" s="260"/>
      <c r="O44" s="244" t="s">
        <v>12</v>
      </c>
      <c r="P44" s="248"/>
      <c r="Q44" s="260"/>
      <c r="R44" s="262"/>
    </row>
    <row r="45">
      <c r="A45" s="32"/>
      <c r="B45" s="32"/>
      <c r="C45" s="93" t="s">
        <v>162</v>
      </c>
      <c r="D45" s="10"/>
      <c r="E45" s="10"/>
      <c r="F45" s="223"/>
      <c r="G45" s="248"/>
      <c r="H45" s="260"/>
      <c r="I45" s="244" t="s">
        <v>24</v>
      </c>
      <c r="J45" s="248" t="s">
        <v>24</v>
      </c>
      <c r="K45" s="260"/>
      <c r="L45" s="244"/>
      <c r="M45" s="248" t="s">
        <v>12</v>
      </c>
      <c r="N45" s="260"/>
      <c r="O45" s="244" t="s">
        <v>12</v>
      </c>
      <c r="P45" s="248"/>
      <c r="Q45" s="260"/>
      <c r="R45" s="262"/>
    </row>
    <row r="46">
      <c r="A46" s="32"/>
      <c r="B46" s="32"/>
      <c r="C46" s="106" t="s">
        <v>164</v>
      </c>
      <c r="D46" s="10"/>
      <c r="E46" s="10"/>
      <c r="F46" s="224" t="s">
        <v>165</v>
      </c>
      <c r="G46" s="248"/>
      <c r="H46" s="260"/>
      <c r="I46" s="244" t="s">
        <v>24</v>
      </c>
      <c r="J46" s="248"/>
      <c r="K46" s="260"/>
      <c r="L46" s="244"/>
      <c r="M46" s="248" t="s">
        <v>12</v>
      </c>
      <c r="N46" s="260"/>
      <c r="O46" s="244" t="s">
        <v>12</v>
      </c>
      <c r="P46" s="248"/>
      <c r="Q46" s="260"/>
      <c r="R46" s="262"/>
    </row>
    <row r="47">
      <c r="A47" s="32"/>
      <c r="B47" s="32"/>
      <c r="C47" s="106" t="s">
        <v>166</v>
      </c>
      <c r="D47" s="10"/>
      <c r="E47" s="10"/>
      <c r="F47" s="212" t="s">
        <v>167</v>
      </c>
      <c r="G47" s="248"/>
      <c r="H47" s="260"/>
      <c r="I47" s="244" t="s">
        <v>24</v>
      </c>
      <c r="J47" s="248" t="s">
        <v>24</v>
      </c>
      <c r="K47" s="260"/>
      <c r="L47" s="244"/>
      <c r="M47" s="248" t="s">
        <v>12</v>
      </c>
      <c r="N47" s="260"/>
      <c r="O47" s="244" t="s">
        <v>12</v>
      </c>
      <c r="P47" s="248"/>
      <c r="Q47" s="260"/>
      <c r="R47" s="262"/>
    </row>
    <row r="48">
      <c r="A48" s="32"/>
      <c r="B48" s="37"/>
      <c r="C48" s="93" t="s">
        <v>168</v>
      </c>
      <c r="D48" s="10"/>
      <c r="E48" s="10"/>
      <c r="F48" s="17"/>
      <c r="G48" s="248"/>
      <c r="H48" s="244"/>
      <c r="I48" s="279" t="s">
        <v>457</v>
      </c>
      <c r="J48" s="248" t="s">
        <v>24</v>
      </c>
      <c r="K48" s="244"/>
      <c r="L48" s="244"/>
      <c r="M48" s="248" t="s">
        <v>12</v>
      </c>
      <c r="N48" s="244"/>
      <c r="O48" s="244" t="s">
        <v>12</v>
      </c>
      <c r="P48" s="248"/>
      <c r="Q48" s="244"/>
      <c r="R48" s="279" t="s">
        <v>458</v>
      </c>
    </row>
    <row r="49">
      <c r="A49" s="32"/>
      <c r="B49" s="115" t="s">
        <v>169</v>
      </c>
      <c r="C49" s="85" t="s">
        <v>141</v>
      </c>
      <c r="D49" s="10"/>
      <c r="E49" s="10"/>
      <c r="F49" s="213" t="s">
        <v>170</v>
      </c>
      <c r="G49" s="248"/>
      <c r="H49" s="260"/>
      <c r="I49" s="244" t="s">
        <v>24</v>
      </c>
      <c r="J49" s="248"/>
      <c r="K49" s="260"/>
      <c r="L49" s="244"/>
      <c r="M49" s="248" t="s">
        <v>12</v>
      </c>
      <c r="N49" s="260"/>
      <c r="O49" s="244" t="s">
        <v>12</v>
      </c>
      <c r="P49" s="248"/>
      <c r="Q49" s="260"/>
      <c r="R49" s="262"/>
    </row>
    <row r="50">
      <c r="A50" s="32"/>
      <c r="B50" s="32"/>
      <c r="C50" s="85" t="s">
        <v>171</v>
      </c>
      <c r="D50" s="10"/>
      <c r="E50" s="10"/>
      <c r="F50" s="17"/>
      <c r="G50" s="248"/>
      <c r="H50" s="260"/>
      <c r="I50" s="244" t="s">
        <v>24</v>
      </c>
      <c r="J50" s="248"/>
      <c r="K50" s="260"/>
      <c r="L50" s="244"/>
      <c r="M50" s="248" t="s">
        <v>12</v>
      </c>
      <c r="N50" s="260"/>
      <c r="O50" s="244" t="s">
        <v>12</v>
      </c>
      <c r="P50" s="248"/>
      <c r="Q50" s="260"/>
      <c r="R50" s="262"/>
    </row>
    <row r="51">
      <c r="A51" s="32"/>
      <c r="B51" s="32"/>
      <c r="C51" s="116" t="s">
        <v>315</v>
      </c>
      <c r="D51" s="10"/>
      <c r="E51" s="10"/>
      <c r="F51" s="225" t="s">
        <v>176</v>
      </c>
      <c r="G51" s="248"/>
      <c r="H51" s="260"/>
      <c r="I51" s="244"/>
      <c r="J51" s="248"/>
      <c r="K51" s="260"/>
      <c r="L51" s="244"/>
      <c r="M51" s="248" t="s">
        <v>12</v>
      </c>
      <c r="N51" s="260"/>
      <c r="O51" s="244" t="s">
        <v>12</v>
      </c>
      <c r="P51" s="248"/>
      <c r="Q51" s="260"/>
      <c r="R51" s="262"/>
    </row>
    <row r="52">
      <c r="A52" s="32"/>
      <c r="B52" s="37"/>
      <c r="C52" s="77" t="s">
        <v>177</v>
      </c>
      <c r="D52" s="10"/>
      <c r="E52" s="10"/>
      <c r="F52" s="17"/>
      <c r="G52" s="248"/>
      <c r="H52" s="260"/>
      <c r="I52" s="244"/>
      <c r="J52" s="248"/>
      <c r="K52" s="260"/>
      <c r="L52" s="244"/>
      <c r="M52" s="248" t="s">
        <v>12</v>
      </c>
      <c r="N52" s="260"/>
      <c r="O52" s="244" t="s">
        <v>12</v>
      </c>
      <c r="P52" s="248"/>
      <c r="Q52" s="260"/>
      <c r="R52" s="262"/>
    </row>
    <row r="53">
      <c r="A53" s="32"/>
      <c r="B53" s="102" t="s">
        <v>178</v>
      </c>
      <c r="C53" s="93" t="s">
        <v>179</v>
      </c>
      <c r="D53" s="10"/>
      <c r="E53" s="10"/>
      <c r="F53" s="17"/>
      <c r="G53" s="248"/>
      <c r="H53" s="260"/>
      <c r="I53" s="244" t="s">
        <v>24</v>
      </c>
      <c r="J53" s="248" t="s">
        <v>24</v>
      </c>
      <c r="K53" s="260"/>
      <c r="L53" s="244"/>
      <c r="M53" s="248" t="s">
        <v>12</v>
      </c>
      <c r="N53" s="260"/>
      <c r="O53" s="244" t="s">
        <v>12</v>
      </c>
      <c r="P53" s="248"/>
      <c r="Q53" s="260"/>
      <c r="R53" s="262"/>
    </row>
    <row r="54">
      <c r="A54" s="32"/>
      <c r="B54" s="32"/>
      <c r="C54" s="93" t="s">
        <v>141</v>
      </c>
      <c r="D54" s="10"/>
      <c r="E54" s="10"/>
      <c r="F54" s="17"/>
      <c r="G54" s="248"/>
      <c r="H54" s="244"/>
      <c r="I54" s="244" t="s">
        <v>24</v>
      </c>
      <c r="J54" s="248" t="s">
        <v>24</v>
      </c>
      <c r="K54" s="244"/>
      <c r="L54" s="244"/>
      <c r="M54" s="248" t="s">
        <v>12</v>
      </c>
      <c r="N54" s="244"/>
      <c r="O54" s="244" t="s">
        <v>12</v>
      </c>
      <c r="P54" s="248"/>
      <c r="Q54" s="244"/>
      <c r="R54" s="244"/>
    </row>
    <row r="55">
      <c r="A55" s="32"/>
      <c r="B55" s="32"/>
      <c r="C55" s="106" t="s">
        <v>181</v>
      </c>
      <c r="D55" s="10"/>
      <c r="E55" s="10"/>
      <c r="F55" s="213" t="s">
        <v>182</v>
      </c>
      <c r="G55" s="248"/>
      <c r="H55" s="260"/>
      <c r="I55" s="244"/>
      <c r="J55" s="248"/>
      <c r="K55" s="260"/>
      <c r="L55" s="244"/>
      <c r="M55" s="248" t="s">
        <v>12</v>
      </c>
      <c r="N55" s="260"/>
      <c r="O55" s="244" t="s">
        <v>12</v>
      </c>
      <c r="P55" s="248"/>
      <c r="Q55" s="260"/>
      <c r="R55" s="274"/>
    </row>
    <row r="56">
      <c r="A56" s="32"/>
      <c r="B56" s="32"/>
      <c r="C56" s="93" t="s">
        <v>183</v>
      </c>
      <c r="D56" s="10"/>
      <c r="E56" s="10"/>
      <c r="F56" s="17"/>
      <c r="G56" s="248"/>
      <c r="H56" s="260"/>
      <c r="I56" s="244"/>
      <c r="J56" s="248" t="s">
        <v>24</v>
      </c>
      <c r="K56" s="260"/>
      <c r="L56" s="244"/>
      <c r="M56" s="248" t="s">
        <v>12</v>
      </c>
      <c r="N56" s="260"/>
      <c r="O56" s="244" t="s">
        <v>12</v>
      </c>
      <c r="P56" s="248"/>
      <c r="Q56" s="260"/>
      <c r="R56" s="262"/>
    </row>
    <row r="57">
      <c r="A57" s="32"/>
      <c r="B57" s="32"/>
      <c r="C57" s="93" t="s">
        <v>184</v>
      </c>
      <c r="D57" s="10"/>
      <c r="E57" s="10"/>
      <c r="F57" s="17"/>
      <c r="G57" s="248"/>
      <c r="H57" s="260"/>
      <c r="I57" s="244" t="s">
        <v>24</v>
      </c>
      <c r="J57" s="248" t="s">
        <v>24</v>
      </c>
      <c r="K57" s="260"/>
      <c r="L57" s="244"/>
      <c r="M57" s="248" t="s">
        <v>12</v>
      </c>
      <c r="N57" s="260"/>
      <c r="O57" s="244" t="s">
        <v>12</v>
      </c>
      <c r="P57" s="248"/>
      <c r="Q57" s="260"/>
      <c r="R57" s="244"/>
    </row>
    <row r="58">
      <c r="A58" s="32"/>
      <c r="B58" s="32"/>
      <c r="C58" s="106" t="s">
        <v>185</v>
      </c>
      <c r="D58" s="10"/>
      <c r="E58" s="10"/>
      <c r="F58" s="213" t="s">
        <v>186</v>
      </c>
      <c r="G58" s="248"/>
      <c r="H58" s="244"/>
      <c r="I58" s="244"/>
      <c r="J58" s="248" t="s">
        <v>24</v>
      </c>
      <c r="K58" s="244"/>
      <c r="L58" s="244"/>
      <c r="M58" s="248" t="s">
        <v>12</v>
      </c>
      <c r="N58" s="244"/>
      <c r="O58" s="244" t="s">
        <v>12</v>
      </c>
      <c r="P58" s="248"/>
      <c r="Q58" s="244"/>
      <c r="R58" s="301"/>
    </row>
    <row r="59">
      <c r="A59" s="32"/>
      <c r="B59" s="32"/>
      <c r="C59" s="87" t="s">
        <v>187</v>
      </c>
      <c r="D59" s="10"/>
      <c r="E59" s="10"/>
      <c r="F59" s="17"/>
      <c r="G59" s="248"/>
      <c r="H59" s="260"/>
      <c r="I59" s="244"/>
      <c r="J59" s="248" t="s">
        <v>24</v>
      </c>
      <c r="K59" s="260"/>
      <c r="L59" s="244"/>
      <c r="M59" s="248" t="s">
        <v>12</v>
      </c>
      <c r="N59" s="260"/>
      <c r="O59" s="244" t="s">
        <v>12</v>
      </c>
      <c r="P59" s="248"/>
      <c r="Q59" s="260"/>
      <c r="R59" s="279" t="s">
        <v>189</v>
      </c>
    </row>
    <row r="60">
      <c r="A60" s="32"/>
      <c r="B60" s="32"/>
      <c r="C60" s="87" t="s">
        <v>188</v>
      </c>
      <c r="D60" s="10"/>
      <c r="E60" s="10"/>
      <c r="F60" s="212" t="s">
        <v>189</v>
      </c>
      <c r="G60" s="248"/>
      <c r="H60" s="291"/>
      <c r="I60" s="244"/>
      <c r="J60" s="248" t="s">
        <v>24</v>
      </c>
      <c r="K60" s="291"/>
      <c r="L60" s="244"/>
      <c r="M60" s="248" t="s">
        <v>12</v>
      </c>
      <c r="N60" s="291"/>
      <c r="O60" s="244" t="s">
        <v>12</v>
      </c>
      <c r="P60" s="248"/>
      <c r="Q60" s="291"/>
      <c r="R60" s="302" t="s">
        <v>189</v>
      </c>
    </row>
    <row r="61">
      <c r="A61" s="32"/>
      <c r="B61" s="32"/>
      <c r="C61" s="77" t="s">
        <v>190</v>
      </c>
      <c r="D61" s="10"/>
      <c r="E61" s="10"/>
      <c r="F61" s="17"/>
      <c r="G61" s="248"/>
      <c r="H61" s="265"/>
      <c r="I61" s="244"/>
      <c r="J61" s="248"/>
      <c r="K61" s="265"/>
      <c r="L61" s="244"/>
      <c r="M61" s="248" t="s">
        <v>12</v>
      </c>
      <c r="N61" s="265"/>
      <c r="O61" s="244" t="s">
        <v>12</v>
      </c>
      <c r="P61" s="248"/>
      <c r="Q61" s="265"/>
      <c r="R61" s="302" t="s">
        <v>459</v>
      </c>
    </row>
    <row r="62">
      <c r="A62" s="32"/>
      <c r="B62" s="32"/>
      <c r="C62" s="106" t="s">
        <v>425</v>
      </c>
      <c r="D62" s="10"/>
      <c r="E62" s="10"/>
      <c r="F62" s="213" t="s">
        <v>192</v>
      </c>
      <c r="G62" s="248"/>
      <c r="H62" s="260"/>
      <c r="I62" s="244"/>
      <c r="J62" s="248"/>
      <c r="K62" s="260"/>
      <c r="L62" s="244"/>
      <c r="M62" s="248" t="s">
        <v>12</v>
      </c>
      <c r="N62" s="260"/>
      <c r="O62" s="244" t="s">
        <v>12</v>
      </c>
      <c r="P62" s="248"/>
      <c r="Q62" s="260"/>
      <c r="R62" s="262"/>
    </row>
    <row r="63">
      <c r="A63" s="32"/>
      <c r="B63" s="32"/>
      <c r="C63" s="106" t="s">
        <v>193</v>
      </c>
      <c r="D63" s="10"/>
      <c r="E63" s="10"/>
      <c r="F63" s="17"/>
      <c r="G63" s="248"/>
      <c r="H63" s="260"/>
      <c r="I63" s="244" t="s">
        <v>24</v>
      </c>
      <c r="J63" s="248" t="s">
        <v>24</v>
      </c>
      <c r="K63" s="260"/>
      <c r="L63" s="244"/>
      <c r="M63" s="248" t="s">
        <v>12</v>
      </c>
      <c r="N63" s="260"/>
      <c r="O63" s="244" t="s">
        <v>12</v>
      </c>
      <c r="P63" s="248"/>
      <c r="Q63" s="260"/>
      <c r="R63" s="262"/>
    </row>
    <row r="64">
      <c r="A64" s="32"/>
      <c r="B64" s="32"/>
      <c r="C64" s="93" t="s">
        <v>194</v>
      </c>
      <c r="D64" s="10"/>
      <c r="E64" s="10"/>
      <c r="F64" s="17"/>
      <c r="G64" s="248"/>
      <c r="H64" s="260"/>
      <c r="I64" s="244" t="s">
        <v>24</v>
      </c>
      <c r="J64" s="248" t="s">
        <v>24</v>
      </c>
      <c r="K64" s="260"/>
      <c r="L64" s="244"/>
      <c r="M64" s="248" t="s">
        <v>12</v>
      </c>
      <c r="N64" s="260"/>
      <c r="O64" s="244" t="s">
        <v>12</v>
      </c>
      <c r="P64" s="248"/>
      <c r="Q64" s="260"/>
      <c r="R64" s="262"/>
    </row>
    <row r="65">
      <c r="A65" s="32"/>
      <c r="B65" s="32"/>
      <c r="C65" s="103" t="s">
        <v>195</v>
      </c>
      <c r="D65" s="10"/>
      <c r="E65" s="10"/>
      <c r="F65" s="213" t="s">
        <v>196</v>
      </c>
      <c r="G65" s="248"/>
      <c r="H65" s="260"/>
      <c r="I65" s="244"/>
      <c r="J65" s="248"/>
      <c r="K65" s="260"/>
      <c r="L65" s="244"/>
      <c r="M65" s="248" t="s">
        <v>12</v>
      </c>
      <c r="N65" s="260"/>
      <c r="O65" s="244" t="s">
        <v>12</v>
      </c>
      <c r="P65" s="248"/>
      <c r="Q65" s="260"/>
      <c r="R65" s="262"/>
    </row>
    <row r="66">
      <c r="A66" s="32"/>
      <c r="B66" s="32"/>
      <c r="C66" s="93" t="s">
        <v>197</v>
      </c>
      <c r="D66" s="10"/>
      <c r="E66" s="10"/>
      <c r="F66" s="213" t="s">
        <v>196</v>
      </c>
      <c r="G66" s="248"/>
      <c r="H66" s="260"/>
      <c r="I66" s="244"/>
      <c r="J66" s="248"/>
      <c r="K66" s="260"/>
      <c r="L66" s="244"/>
      <c r="M66" s="248" t="s">
        <v>12</v>
      </c>
      <c r="N66" s="260"/>
      <c r="O66" s="244" t="s">
        <v>12</v>
      </c>
      <c r="P66" s="248"/>
      <c r="Q66" s="260"/>
      <c r="R66" s="262"/>
    </row>
    <row r="67">
      <c r="A67" s="32"/>
      <c r="B67" s="32"/>
      <c r="C67" s="226" t="s">
        <v>198</v>
      </c>
      <c r="D67" s="10"/>
      <c r="E67" s="10"/>
      <c r="F67" s="213" t="s">
        <v>196</v>
      </c>
      <c r="G67" s="248"/>
      <c r="H67" s="260"/>
      <c r="I67" s="244"/>
      <c r="J67" s="248"/>
      <c r="K67" s="260"/>
      <c r="L67" s="244"/>
      <c r="M67" s="248" t="s">
        <v>12</v>
      </c>
      <c r="N67" s="260"/>
      <c r="O67" s="244" t="s">
        <v>12</v>
      </c>
      <c r="P67" s="248"/>
      <c r="Q67" s="260"/>
      <c r="R67" s="262"/>
    </row>
    <row r="68">
      <c r="A68" s="32"/>
      <c r="B68" s="32"/>
      <c r="C68" s="118" t="s">
        <v>199</v>
      </c>
      <c r="D68" s="10"/>
      <c r="E68" s="10"/>
      <c r="F68" s="212" t="s">
        <v>200</v>
      </c>
      <c r="G68" s="244"/>
      <c r="H68" s="260"/>
      <c r="I68" s="279" t="s">
        <v>200</v>
      </c>
      <c r="J68" s="279" t="s">
        <v>200</v>
      </c>
      <c r="K68" s="260"/>
      <c r="L68" s="244"/>
      <c r="M68" s="248" t="s">
        <v>12</v>
      </c>
      <c r="N68" s="260"/>
      <c r="O68" s="244" t="s">
        <v>12</v>
      </c>
      <c r="P68" s="248"/>
      <c r="Q68" s="260"/>
      <c r="R68" s="279" t="s">
        <v>200</v>
      </c>
    </row>
    <row r="69">
      <c r="A69" s="32"/>
      <c r="B69" s="32"/>
      <c r="C69" s="227" t="s">
        <v>201</v>
      </c>
      <c r="D69" s="10"/>
      <c r="E69" s="10"/>
      <c r="F69" s="213" t="s">
        <v>202</v>
      </c>
      <c r="G69" s="248"/>
      <c r="H69" s="260"/>
      <c r="I69" s="244" t="s">
        <v>24</v>
      </c>
      <c r="J69" s="248"/>
      <c r="K69" s="260"/>
      <c r="L69" s="244"/>
      <c r="M69" s="248" t="s">
        <v>12</v>
      </c>
      <c r="N69" s="260"/>
      <c r="O69" s="244" t="s">
        <v>12</v>
      </c>
      <c r="P69" s="248"/>
      <c r="Q69" s="260"/>
      <c r="R69" s="262"/>
    </row>
    <row r="70">
      <c r="A70" s="32"/>
      <c r="B70" s="32"/>
      <c r="C70" s="119" t="s">
        <v>203</v>
      </c>
      <c r="D70" s="10"/>
      <c r="E70" s="10"/>
      <c r="F70" s="213" t="s">
        <v>124</v>
      </c>
      <c r="G70" s="248"/>
      <c r="H70" s="292"/>
      <c r="I70" s="244" t="s">
        <v>24</v>
      </c>
      <c r="J70" s="248" t="s">
        <v>24</v>
      </c>
      <c r="K70" s="292"/>
      <c r="L70" s="244"/>
      <c r="M70" s="248" t="s">
        <v>12</v>
      </c>
      <c r="N70" s="292"/>
      <c r="O70" s="244" t="s">
        <v>12</v>
      </c>
      <c r="P70" s="248"/>
      <c r="Q70" s="292"/>
      <c r="R70" s="303"/>
    </row>
    <row r="71">
      <c r="A71" s="32"/>
      <c r="B71" s="32"/>
      <c r="C71" s="120" t="s">
        <v>316</v>
      </c>
      <c r="D71" s="10"/>
      <c r="E71" s="10"/>
      <c r="F71" s="213" t="s">
        <v>124</v>
      </c>
      <c r="G71" s="248"/>
      <c r="H71" s="259"/>
      <c r="I71" s="244" t="s">
        <v>24</v>
      </c>
      <c r="J71" s="248" t="s">
        <v>24</v>
      </c>
      <c r="K71" s="259"/>
      <c r="L71" s="244"/>
      <c r="M71" s="248" t="s">
        <v>12</v>
      </c>
      <c r="N71" s="259"/>
      <c r="O71" s="244" t="s">
        <v>12</v>
      </c>
      <c r="P71" s="248"/>
      <c r="Q71" s="259"/>
      <c r="R71" s="262"/>
    </row>
    <row r="72">
      <c r="A72" s="32"/>
      <c r="B72" s="37"/>
      <c r="C72" s="121" t="s">
        <v>205</v>
      </c>
      <c r="D72" s="245" t="s">
        <v>206</v>
      </c>
      <c r="E72" s="10"/>
      <c r="F72" s="213" t="s">
        <v>207</v>
      </c>
      <c r="G72" s="248"/>
      <c r="H72" s="260"/>
      <c r="I72" s="244" t="s">
        <v>24</v>
      </c>
      <c r="J72" s="248"/>
      <c r="K72" s="260"/>
      <c r="L72" s="244"/>
      <c r="M72" s="248" t="s">
        <v>12</v>
      </c>
      <c r="N72" s="260"/>
      <c r="O72" s="244" t="s">
        <v>12</v>
      </c>
      <c r="P72" s="248"/>
      <c r="Q72" s="260"/>
      <c r="R72" s="262"/>
    </row>
    <row r="73">
      <c r="A73" s="32"/>
      <c r="B73" s="102" t="s">
        <v>208</v>
      </c>
      <c r="C73" s="106" t="s">
        <v>209</v>
      </c>
      <c r="D73" s="10"/>
      <c r="E73" s="10"/>
      <c r="F73" s="17"/>
      <c r="G73" s="248"/>
      <c r="H73" s="260"/>
      <c r="I73" s="244" t="s">
        <v>24</v>
      </c>
      <c r="J73" s="248" t="s">
        <v>24</v>
      </c>
      <c r="K73" s="260"/>
      <c r="L73" s="244"/>
      <c r="M73" s="248" t="s">
        <v>12</v>
      </c>
      <c r="N73" s="260"/>
      <c r="O73" s="244" t="s">
        <v>12</v>
      </c>
      <c r="P73" s="248"/>
      <c r="Q73" s="260"/>
      <c r="R73" s="262"/>
    </row>
    <row r="74">
      <c r="A74" s="32"/>
      <c r="B74" s="32"/>
      <c r="C74" s="123" t="s">
        <v>210</v>
      </c>
      <c r="D74" s="10"/>
      <c r="E74" s="10"/>
      <c r="F74" s="213" t="s">
        <v>211</v>
      </c>
      <c r="G74" s="248"/>
      <c r="H74" s="260"/>
      <c r="I74" s="244" t="s">
        <v>24</v>
      </c>
      <c r="J74" s="248" t="s">
        <v>24</v>
      </c>
      <c r="K74" s="260"/>
      <c r="L74" s="244"/>
      <c r="M74" s="248" t="s">
        <v>12</v>
      </c>
      <c r="N74" s="260"/>
      <c r="O74" s="244" t="s">
        <v>12</v>
      </c>
      <c r="P74" s="248"/>
      <c r="Q74" s="260"/>
      <c r="R74" s="262"/>
    </row>
    <row r="75">
      <c r="A75" s="32"/>
      <c r="B75" s="32"/>
      <c r="C75" s="124" t="s">
        <v>212</v>
      </c>
      <c r="D75" s="10"/>
      <c r="E75" s="10"/>
      <c r="F75" s="17"/>
      <c r="G75" s="248"/>
      <c r="H75" s="260"/>
      <c r="I75" s="244" t="s">
        <v>24</v>
      </c>
      <c r="J75" s="248"/>
      <c r="K75" s="260"/>
      <c r="L75" s="244"/>
      <c r="M75" s="248" t="s">
        <v>12</v>
      </c>
      <c r="N75" s="260"/>
      <c r="O75" s="244" t="s">
        <v>12</v>
      </c>
      <c r="P75" s="248"/>
      <c r="Q75" s="260"/>
      <c r="R75" s="262"/>
    </row>
    <row r="76">
      <c r="A76" s="32"/>
      <c r="B76" s="32"/>
      <c r="C76" s="125" t="s">
        <v>213</v>
      </c>
      <c r="D76" s="10"/>
      <c r="E76" s="10"/>
      <c r="F76" s="17"/>
      <c r="G76" s="248"/>
      <c r="H76" s="260"/>
      <c r="I76" s="244" t="s">
        <v>24</v>
      </c>
      <c r="J76" s="248"/>
      <c r="K76" s="260"/>
      <c r="L76" s="244"/>
      <c r="M76" s="248" t="s">
        <v>12</v>
      </c>
      <c r="N76" s="260"/>
      <c r="O76" s="244" t="s">
        <v>12</v>
      </c>
      <c r="P76" s="248"/>
      <c r="Q76" s="260"/>
      <c r="R76" s="262"/>
    </row>
    <row r="77">
      <c r="A77" s="32"/>
      <c r="B77" s="37"/>
      <c r="C77" s="124" t="s">
        <v>214</v>
      </c>
      <c r="D77" s="10"/>
      <c r="E77" s="10"/>
      <c r="F77" s="17"/>
      <c r="G77" s="248"/>
      <c r="H77" s="260"/>
      <c r="I77" s="244" t="s">
        <v>24</v>
      </c>
      <c r="J77" s="248"/>
      <c r="K77" s="260"/>
      <c r="L77" s="244"/>
      <c r="M77" s="248" t="s">
        <v>12</v>
      </c>
      <c r="N77" s="260"/>
      <c r="O77" s="244" t="s">
        <v>12</v>
      </c>
      <c r="P77" s="248"/>
      <c r="Q77" s="260"/>
      <c r="R77" s="262"/>
    </row>
    <row r="78">
      <c r="A78" s="32"/>
      <c r="B78" s="115" t="s">
        <v>217</v>
      </c>
      <c r="C78" s="124" t="s">
        <v>218</v>
      </c>
      <c r="D78" s="10"/>
      <c r="E78" s="10"/>
      <c r="F78" s="17"/>
      <c r="G78" s="248"/>
      <c r="H78" s="260"/>
      <c r="I78" s="244" t="s">
        <v>24</v>
      </c>
      <c r="J78" s="248" t="s">
        <v>24</v>
      </c>
      <c r="K78" s="260"/>
      <c r="L78" s="244"/>
      <c r="M78" s="248" t="s">
        <v>12</v>
      </c>
      <c r="N78" s="260"/>
      <c r="O78" s="244" t="s">
        <v>12</v>
      </c>
      <c r="P78" s="248"/>
      <c r="Q78" s="260"/>
      <c r="R78" s="262"/>
    </row>
    <row r="79">
      <c r="A79" s="32"/>
      <c r="B79" s="32"/>
      <c r="C79" s="124" t="s">
        <v>220</v>
      </c>
      <c r="D79" s="10"/>
      <c r="E79" s="10"/>
      <c r="F79" s="17"/>
      <c r="G79" s="248"/>
      <c r="H79" s="258"/>
      <c r="I79" s="244" t="s">
        <v>24</v>
      </c>
      <c r="J79" s="248" t="s">
        <v>24</v>
      </c>
      <c r="K79" s="258"/>
      <c r="L79" s="244"/>
      <c r="M79" s="248" t="s">
        <v>12</v>
      </c>
      <c r="N79" s="258"/>
      <c r="O79" s="244" t="s">
        <v>12</v>
      </c>
      <c r="P79" s="248"/>
      <c r="Q79" s="258"/>
      <c r="R79" s="262"/>
    </row>
    <row r="80">
      <c r="A80" s="32"/>
      <c r="B80" s="32"/>
      <c r="C80" s="129" t="s">
        <v>221</v>
      </c>
      <c r="D80" s="10"/>
      <c r="E80" s="10"/>
      <c r="F80" s="213" t="s">
        <v>222</v>
      </c>
      <c r="G80" s="248"/>
      <c r="H80" s="260"/>
      <c r="I80" s="244" t="s">
        <v>24</v>
      </c>
      <c r="J80" s="248" t="s">
        <v>24</v>
      </c>
      <c r="K80" s="260"/>
      <c r="L80" s="244"/>
      <c r="M80" s="248" t="s">
        <v>12</v>
      </c>
      <c r="N80" s="260"/>
      <c r="O80" s="244" t="s">
        <v>12</v>
      </c>
      <c r="P80" s="248"/>
      <c r="Q80" s="260"/>
      <c r="R80" s="262"/>
    </row>
    <row r="81">
      <c r="A81" s="32"/>
      <c r="B81" s="37"/>
      <c r="C81" s="124" t="s">
        <v>223</v>
      </c>
      <c r="D81" s="10"/>
      <c r="E81" s="10"/>
      <c r="F81" s="213" t="s">
        <v>224</v>
      </c>
      <c r="G81" s="244"/>
      <c r="H81" s="260"/>
      <c r="I81" s="279" t="s">
        <v>414</v>
      </c>
      <c r="J81" s="279" t="s">
        <v>414</v>
      </c>
      <c r="K81" s="260"/>
      <c r="L81" s="244"/>
      <c r="M81" s="248" t="s">
        <v>12</v>
      </c>
      <c r="N81" s="260"/>
      <c r="O81" s="244" t="s">
        <v>12</v>
      </c>
      <c r="P81" s="248"/>
      <c r="Q81" s="260"/>
      <c r="R81" s="279" t="s">
        <v>414</v>
      </c>
    </row>
    <row r="82">
      <c r="A82" s="32"/>
      <c r="B82" s="102" t="s">
        <v>244</v>
      </c>
      <c r="C82" s="106" t="s">
        <v>245</v>
      </c>
      <c r="D82" s="10"/>
      <c r="E82" s="245" t="s">
        <v>248</v>
      </c>
      <c r="F82" s="237" t="s">
        <v>411</v>
      </c>
      <c r="G82" s="248"/>
      <c r="H82" s="260"/>
      <c r="I82" s="244" t="s">
        <v>24</v>
      </c>
      <c r="J82" s="248" t="s">
        <v>24</v>
      </c>
      <c r="K82" s="260"/>
      <c r="L82" s="244"/>
      <c r="M82" s="248" t="s">
        <v>12</v>
      </c>
      <c r="N82" s="260"/>
      <c r="O82" s="244" t="s">
        <v>12</v>
      </c>
      <c r="P82" s="248"/>
      <c r="Q82" s="260"/>
      <c r="R82" s="262"/>
    </row>
    <row r="83">
      <c r="A83" s="32"/>
      <c r="B83" s="32"/>
      <c r="C83" s="123" t="s">
        <v>247</v>
      </c>
      <c r="D83" s="10"/>
      <c r="E83" s="245" t="s">
        <v>248</v>
      </c>
      <c r="F83" s="213" t="s">
        <v>207</v>
      </c>
      <c r="G83" s="248"/>
      <c r="H83" s="260"/>
      <c r="I83" s="244" t="s">
        <v>24</v>
      </c>
      <c r="J83" s="248" t="s">
        <v>24</v>
      </c>
      <c r="K83" s="260"/>
      <c r="L83" s="244"/>
      <c r="M83" s="248" t="s">
        <v>12</v>
      </c>
      <c r="N83" s="260"/>
      <c r="O83" s="244" t="s">
        <v>12</v>
      </c>
      <c r="P83" s="248"/>
      <c r="Q83" s="260"/>
      <c r="R83" s="262"/>
    </row>
    <row r="84">
      <c r="A84" s="32"/>
      <c r="B84" s="32"/>
      <c r="C84" s="123" t="s">
        <v>249</v>
      </c>
      <c r="D84" s="10"/>
      <c r="E84" s="10"/>
      <c r="F84" s="213" t="s">
        <v>250</v>
      </c>
      <c r="G84" s="248"/>
      <c r="H84" s="260"/>
      <c r="I84" s="244" t="s">
        <v>24</v>
      </c>
      <c r="J84" s="248" t="s">
        <v>24</v>
      </c>
      <c r="K84" s="260"/>
      <c r="L84" s="244"/>
      <c r="M84" s="248" t="s">
        <v>12</v>
      </c>
      <c r="N84" s="260"/>
      <c r="O84" s="244" t="s">
        <v>12</v>
      </c>
      <c r="P84" s="248"/>
      <c r="Q84" s="260"/>
      <c r="R84" s="262"/>
    </row>
    <row r="85">
      <c r="A85" s="32"/>
      <c r="B85" s="32"/>
      <c r="C85" s="103" t="s">
        <v>251</v>
      </c>
      <c r="D85" s="10"/>
      <c r="E85" s="10"/>
      <c r="F85" s="213" t="s">
        <v>252</v>
      </c>
      <c r="G85" s="244"/>
      <c r="H85" s="244"/>
      <c r="I85" s="279" t="s">
        <v>414</v>
      </c>
      <c r="J85" s="279" t="s">
        <v>414</v>
      </c>
      <c r="K85" s="244"/>
      <c r="L85" s="244"/>
      <c r="M85" s="248" t="s">
        <v>12</v>
      </c>
      <c r="N85" s="244"/>
      <c r="O85" s="244" t="s">
        <v>12</v>
      </c>
      <c r="P85" s="248"/>
      <c r="Q85" s="244"/>
      <c r="R85" s="279" t="s">
        <v>414</v>
      </c>
    </row>
    <row r="86">
      <c r="A86" s="32"/>
      <c r="B86" s="32"/>
      <c r="C86" s="106" t="s">
        <v>253</v>
      </c>
      <c r="D86" s="10"/>
      <c r="E86" s="10"/>
      <c r="F86" s="213" t="s">
        <v>254</v>
      </c>
      <c r="G86" s="244"/>
      <c r="H86" s="260"/>
      <c r="I86" s="304" t="s">
        <v>460</v>
      </c>
      <c r="J86" s="279" t="s">
        <v>461</v>
      </c>
      <c r="K86" s="260"/>
      <c r="L86" s="244"/>
      <c r="M86" s="248" t="s">
        <v>12</v>
      </c>
      <c r="N86" s="260"/>
      <c r="O86" s="244" t="s">
        <v>12</v>
      </c>
      <c r="P86" s="248"/>
      <c r="Q86" s="260"/>
      <c r="R86" s="279" t="s">
        <v>461</v>
      </c>
    </row>
    <row r="87">
      <c r="A87" s="32"/>
      <c r="B87" s="32"/>
      <c r="C87" s="106" t="s">
        <v>255</v>
      </c>
      <c r="D87" s="10"/>
      <c r="E87" s="10"/>
      <c r="F87" s="213" t="s">
        <v>256</v>
      </c>
      <c r="G87" s="244"/>
      <c r="H87" s="260"/>
      <c r="I87" s="279" t="s">
        <v>413</v>
      </c>
      <c r="J87" s="279" t="s">
        <v>413</v>
      </c>
      <c r="K87" s="260"/>
      <c r="L87" s="244"/>
      <c r="M87" s="248" t="s">
        <v>12</v>
      </c>
      <c r="N87" s="260"/>
      <c r="O87" s="244" t="s">
        <v>12</v>
      </c>
      <c r="P87" s="248"/>
      <c r="Q87" s="260"/>
      <c r="R87" s="279" t="s">
        <v>413</v>
      </c>
    </row>
    <row r="88">
      <c r="A88" s="32"/>
      <c r="B88" s="32"/>
      <c r="C88" s="93" t="s">
        <v>257</v>
      </c>
      <c r="D88" s="10"/>
      <c r="E88" s="10"/>
      <c r="F88" s="17"/>
      <c r="G88" s="248"/>
      <c r="H88" s="260"/>
      <c r="I88" s="244" t="s">
        <v>24</v>
      </c>
      <c r="J88" s="248" t="s">
        <v>24</v>
      </c>
      <c r="K88" s="260"/>
      <c r="L88" s="244"/>
      <c r="M88" s="248" t="s">
        <v>12</v>
      </c>
      <c r="N88" s="260"/>
      <c r="O88" s="244" t="s">
        <v>12</v>
      </c>
      <c r="P88" s="248"/>
      <c r="Q88" s="260"/>
      <c r="R88" s="262"/>
    </row>
    <row r="89">
      <c r="A89" s="32"/>
      <c r="B89" s="32"/>
      <c r="C89" s="93" t="s">
        <v>258</v>
      </c>
      <c r="D89" s="10"/>
      <c r="E89" s="10"/>
      <c r="F89" s="213" t="s">
        <v>259</v>
      </c>
      <c r="G89" s="248"/>
      <c r="H89" s="260"/>
      <c r="I89" s="244" t="s">
        <v>24</v>
      </c>
      <c r="J89" s="248" t="s">
        <v>24</v>
      </c>
      <c r="K89" s="260"/>
      <c r="L89" s="244"/>
      <c r="M89" s="248" t="s">
        <v>12</v>
      </c>
      <c r="N89" s="260"/>
      <c r="O89" s="244" t="s">
        <v>12</v>
      </c>
      <c r="P89" s="248"/>
      <c r="Q89" s="260"/>
      <c r="R89" s="274"/>
    </row>
    <row r="90">
      <c r="A90" s="32"/>
      <c r="B90" s="37"/>
      <c r="C90" s="294" t="s">
        <v>441</v>
      </c>
      <c r="D90" s="10"/>
      <c r="E90" s="10"/>
      <c r="F90" s="17"/>
      <c r="G90" s="248"/>
      <c r="H90" s="260"/>
      <c r="I90" s="244" t="s">
        <v>24</v>
      </c>
      <c r="J90" s="248" t="s">
        <v>24</v>
      </c>
      <c r="K90" s="260"/>
      <c r="L90" s="244"/>
      <c r="M90" s="248" t="s">
        <v>12</v>
      </c>
      <c r="N90" s="260"/>
      <c r="O90" s="244" t="s">
        <v>12</v>
      </c>
      <c r="P90" s="248"/>
      <c r="Q90" s="260"/>
      <c r="R90" s="262"/>
    </row>
    <row r="91">
      <c r="A91" s="32"/>
      <c r="B91" s="141" t="s">
        <v>264</v>
      </c>
      <c r="C91" s="142" t="s">
        <v>265</v>
      </c>
      <c r="E91" s="245" t="s">
        <v>266</v>
      </c>
      <c r="F91" s="240"/>
      <c r="G91" s="248"/>
      <c r="H91" s="260"/>
      <c r="I91" s="244"/>
      <c r="J91" s="248"/>
      <c r="K91" s="260"/>
      <c r="L91" s="244"/>
      <c r="M91" s="248" t="s">
        <v>12</v>
      </c>
      <c r="N91" s="260"/>
      <c r="O91" s="244" t="s">
        <v>12</v>
      </c>
      <c r="P91" s="248"/>
      <c r="Q91" s="260"/>
      <c r="R91" s="262"/>
    </row>
    <row r="92">
      <c r="A92" s="37"/>
      <c r="B92" s="37"/>
      <c r="C92" s="148" t="s">
        <v>274</v>
      </c>
      <c r="D92" s="10"/>
      <c r="F92" s="240"/>
      <c r="G92" s="248"/>
      <c r="H92" s="260"/>
      <c r="I92" s="244" t="s">
        <v>24</v>
      </c>
      <c r="J92" s="248"/>
      <c r="K92" s="260"/>
      <c r="L92" s="244"/>
      <c r="M92" s="248" t="s">
        <v>12</v>
      </c>
      <c r="N92" s="260"/>
      <c r="O92" s="244" t="s">
        <v>12</v>
      </c>
      <c r="P92" s="248"/>
      <c r="Q92" s="260"/>
      <c r="R92" s="262"/>
    </row>
    <row r="93">
      <c r="A93" s="154"/>
      <c r="B93" s="154">
        <v>93.0</v>
      </c>
      <c r="C93" s="154" t="s">
        <v>462</v>
      </c>
      <c r="D93" s="154"/>
      <c r="E93" s="154"/>
      <c r="F93" s="142" t="s">
        <v>276</v>
      </c>
      <c r="G93" s="200">
        <v>0.0</v>
      </c>
      <c r="H93" s="200">
        <v>0.0</v>
      </c>
      <c r="I93" s="200">
        <v>82.0</v>
      </c>
      <c r="J93" s="200">
        <v>64.0</v>
      </c>
      <c r="K93" s="200">
        <v>0.0</v>
      </c>
      <c r="L93" s="200">
        <v>0.0</v>
      </c>
      <c r="M93" s="200">
        <v>99.0</v>
      </c>
      <c r="N93" s="200">
        <v>0.0</v>
      </c>
      <c r="O93" s="200">
        <v>99.0</v>
      </c>
      <c r="P93" s="200">
        <v>0.0</v>
      </c>
      <c r="Q93" s="200">
        <v>0.0</v>
      </c>
      <c r="R93" s="200">
        <v>37.0</v>
      </c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79" t="s">
        <v>463</v>
      </c>
      <c r="B98" s="152"/>
      <c r="C98" s="152"/>
      <c r="D98" s="153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54"/>
      <c r="B99" s="155" t="s">
        <v>5</v>
      </c>
      <c r="C99" s="155" t="s">
        <v>277</v>
      </c>
      <c r="D99" s="155" t="s">
        <v>7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55" t="s">
        <v>278</v>
      </c>
      <c r="B100" s="154">
        <v>0.0</v>
      </c>
      <c r="C100" s="154">
        <v>0.0</v>
      </c>
      <c r="D100" s="154">
        <v>59.0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55" t="s">
        <v>279</v>
      </c>
      <c r="B101" s="154">
        <v>0.0</v>
      </c>
      <c r="C101" s="154">
        <v>0.0</v>
      </c>
      <c r="D101" s="154">
        <v>9.0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55" t="s">
        <v>280</v>
      </c>
      <c r="B102" s="154">
        <v>0.0</v>
      </c>
      <c r="C102" s="154">
        <v>0.0</v>
      </c>
      <c r="D102" s="154">
        <v>0.0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55" t="s">
        <v>281</v>
      </c>
      <c r="B103" s="154">
        <v>0.0</v>
      </c>
      <c r="C103" s="154">
        <v>0.0</v>
      </c>
      <c r="D103" s="154">
        <v>14.0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56" t="s">
        <v>282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57" t="s">
        <v>8</v>
      </c>
      <c r="B107" s="158"/>
      <c r="C107" s="158"/>
      <c r="D107" s="158"/>
      <c r="E107" s="157" t="s">
        <v>283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59" t="s">
        <v>284</v>
      </c>
      <c r="B108" s="158"/>
      <c r="C108" s="158"/>
      <c r="D108" s="158"/>
      <c r="E108" s="160" t="s">
        <v>24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61" t="s">
        <v>285</v>
      </c>
      <c r="B109" s="158"/>
      <c r="C109" s="158"/>
      <c r="D109" s="158"/>
      <c r="E109" s="162" t="s">
        <v>12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63" t="s">
        <v>286</v>
      </c>
      <c r="B110" s="158"/>
      <c r="C110" s="158"/>
      <c r="D110" s="158"/>
      <c r="E110" s="164" t="s">
        <v>287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65" t="s">
        <v>288</v>
      </c>
      <c r="B111" s="158"/>
      <c r="C111" s="158"/>
      <c r="D111" s="158"/>
      <c r="E111" s="166" t="s">
        <v>10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67" t="s">
        <v>289</v>
      </c>
      <c r="B112" s="158"/>
      <c r="C112" s="158"/>
      <c r="D112" s="158"/>
      <c r="E112" s="168" t="s">
        <v>290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69" t="s">
        <v>291</v>
      </c>
      <c r="B113" s="158"/>
      <c r="C113" s="158"/>
      <c r="D113" s="158"/>
      <c r="E113" s="170" t="s">
        <v>292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71" t="s">
        <v>293</v>
      </c>
      <c r="B114" s="158"/>
      <c r="C114" s="158"/>
      <c r="D114" s="158"/>
      <c r="E114" s="172" t="s">
        <v>294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73" t="s">
        <v>295</v>
      </c>
      <c r="B115" s="158"/>
      <c r="C115" s="158"/>
      <c r="D115" s="158"/>
      <c r="E115" s="174" t="s">
        <v>11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75" t="s">
        <v>296</v>
      </c>
      <c r="B116" s="158"/>
      <c r="C116" s="158"/>
      <c r="D116" s="158"/>
      <c r="E116" s="176" t="s">
        <v>12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77" t="s">
        <v>297</v>
      </c>
      <c r="B117" s="158"/>
      <c r="C117" s="158"/>
      <c r="D117" s="158"/>
      <c r="E117" s="158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78" t="s">
        <v>298</v>
      </c>
      <c r="B118" s="158"/>
      <c r="C118" s="158"/>
      <c r="D118" s="158"/>
      <c r="E118" s="158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79" t="s">
        <v>299</v>
      </c>
      <c r="B119" s="158"/>
      <c r="C119" s="158"/>
      <c r="D119" s="158"/>
      <c r="E119" s="158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80" t="s">
        <v>300</v>
      </c>
      <c r="B120" s="158"/>
      <c r="C120" s="158"/>
      <c r="D120" s="158"/>
      <c r="E120" s="158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81" t="s">
        <v>301</v>
      </c>
      <c r="B121" s="158"/>
      <c r="C121" s="158"/>
      <c r="D121" s="158"/>
      <c r="E121" s="158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</sheetData>
  <mergeCells count="18">
    <mergeCell ref="B17:B19"/>
    <mergeCell ref="B20:B34"/>
    <mergeCell ref="B35:B48"/>
    <mergeCell ref="B49:B52"/>
    <mergeCell ref="B53:B72"/>
    <mergeCell ref="B73:B77"/>
    <mergeCell ref="B78:B81"/>
    <mergeCell ref="B82:B90"/>
    <mergeCell ref="A98:D98"/>
    <mergeCell ref="A106:E106"/>
    <mergeCell ref="G1:I1"/>
    <mergeCell ref="J1:L1"/>
    <mergeCell ref="M1:O1"/>
    <mergeCell ref="P1:R1"/>
    <mergeCell ref="A6:A19"/>
    <mergeCell ref="B6:B16"/>
    <mergeCell ref="A20:A92"/>
    <mergeCell ref="B91:B92"/>
  </mergeCells>
  <conditionalFormatting sqref="B3:D3 G4:R4">
    <cfRule type="cellIs" dxfId="14" priority="1" stopIfTrue="1" operator="equal">
      <formula>"Anu"</formula>
    </cfRule>
  </conditionalFormatting>
  <conditionalFormatting sqref="B3:D3 G4:R4">
    <cfRule type="cellIs" dxfId="0" priority="2" stopIfTrue="1" operator="equal">
      <formula>"Amrita"</formula>
    </cfRule>
  </conditionalFormatting>
  <conditionalFormatting sqref="B3:D3 G4:R4">
    <cfRule type="cellIs" dxfId="1" priority="3" stopIfTrue="1" operator="equal">
      <formula>"Soumya"</formula>
    </cfRule>
  </conditionalFormatting>
  <conditionalFormatting sqref="B3:D3 G4:R4">
    <cfRule type="cellIs" dxfId="2" priority="4" stopIfTrue="1" operator="equal">
      <formula>"Hannah"</formula>
    </cfRule>
  </conditionalFormatting>
  <conditionalFormatting sqref="B3:D3 G4:R4">
    <cfRule type="cellIs" dxfId="4" priority="5" stopIfTrue="1" operator="equal">
      <formula>"Nitin"</formula>
    </cfRule>
  </conditionalFormatting>
  <conditionalFormatting sqref="B3:D3 G4:R4">
    <cfRule type="cellIs" dxfId="15" priority="6" stopIfTrue="1" operator="equal">
      <formula>"Pankhuri"</formula>
    </cfRule>
  </conditionalFormatting>
  <conditionalFormatting sqref="B3:D3 G4:R4">
    <cfRule type="cellIs" dxfId="5" priority="7" stopIfTrue="1" operator="equal">
      <formula>"Ramakrishna"</formula>
    </cfRule>
  </conditionalFormatting>
  <conditionalFormatting sqref="B3:D3 G4:R4">
    <cfRule type="cellIs" dxfId="6" priority="8" stopIfTrue="1" operator="equal">
      <formula>"Abdul"</formula>
    </cfRule>
  </conditionalFormatting>
  <conditionalFormatting sqref="B3:D3 G4:R4">
    <cfRule type="cellIs" dxfId="7" priority="9" stopIfTrue="1" operator="equal">
      <formula>"Saheli"</formula>
    </cfRule>
  </conditionalFormatting>
  <conditionalFormatting sqref="B3:D3 G4:R4">
    <cfRule type="cellIs" dxfId="8" priority="10" stopIfTrue="1" operator="equal">
      <formula>"Matt"</formula>
    </cfRule>
  </conditionalFormatting>
  <conditionalFormatting sqref="B3:D3 G4:R4">
    <cfRule type="cellIs" dxfId="9" priority="11" stopIfTrue="1" operator="equal">
      <formula>"Vishnu"</formula>
    </cfRule>
  </conditionalFormatting>
  <conditionalFormatting sqref="B3:D3 G4:R4">
    <cfRule type="cellIs" dxfId="10" priority="12" stopIfTrue="1" operator="equal">
      <formula>"Ivy"</formula>
    </cfRule>
  </conditionalFormatting>
  <conditionalFormatting sqref="B3:D3 G4:R4">
    <cfRule type="cellIs" dxfId="11" priority="13" stopIfTrue="1" operator="equal">
      <formula>"Rupal"</formula>
    </cfRule>
  </conditionalFormatting>
  <conditionalFormatting sqref="B3:D3 G4:R4">
    <cfRule type="cellIs" dxfId="25" priority="14" stopIfTrue="1" operator="equal">
      <formula>"Utkarsh"</formula>
    </cfRule>
  </conditionalFormatting>
  <conditionalFormatting sqref="G6:R92">
    <cfRule type="cellIs" dxfId="16" priority="15" stopIfTrue="1" operator="equal">
      <formula>"OK"</formula>
    </cfRule>
  </conditionalFormatting>
  <conditionalFormatting sqref="B3:D3 G4:R4 G6:R92">
    <cfRule type="cellIs" dxfId="18" priority="16" stopIfTrue="1" operator="equal">
      <formula>"Not Tested"</formula>
    </cfRule>
  </conditionalFormatting>
  <conditionalFormatting sqref="G6:R92">
    <cfRule type="cellIs" dxfId="19" priority="17" stopIfTrue="1" operator="equal">
      <formula>"N/A"</formula>
    </cfRule>
  </conditionalFormatting>
  <conditionalFormatting sqref="B2:D2 G3:R3">
    <cfRule type="containsText" dxfId="20" priority="18" stopIfTrue="1" operator="containsText" text="Incomplete">
      <formula>NOT(ISERROR(SEARCH(("Incomplete"),(B2))))</formula>
    </cfRule>
  </conditionalFormatting>
  <conditionalFormatting sqref="B2:D2 G3:R3">
    <cfRule type="containsText" dxfId="17" priority="19" stopIfTrue="1" operator="containsText" text="Broken">
      <formula>NOT(ISERROR(SEARCH(("Broken"),(B2))))</formula>
    </cfRule>
  </conditionalFormatting>
  <conditionalFormatting sqref="B2:D2 G3:R3">
    <cfRule type="containsText" dxfId="21" priority="20" stopIfTrue="1" operator="containsText" text="Some problems">
      <formula>NOT(ISERROR(SEARCH(("Some problems"),(B2))))</formula>
    </cfRule>
  </conditionalFormatting>
  <conditionalFormatting sqref="B2:D2 G3:R3">
    <cfRule type="containsText" dxfId="22" priority="21" stopIfTrue="1" operator="containsText" text="All OK">
      <formula>NOT(ISERROR(SEARCH(("All OK"),(B2))))</formula>
    </cfRule>
  </conditionalFormatting>
  <conditionalFormatting sqref="B2:D2 G3:R3">
    <cfRule type="containsText" dxfId="23" priority="22" stopIfTrue="1" operator="containsText" text="In Progress">
      <formula>NOT(ISERROR(SEARCH(("In Progress"),(B2))))</formula>
    </cfRule>
  </conditionalFormatting>
  <conditionalFormatting sqref="B2:D2 G3:R3">
    <cfRule type="containsText" dxfId="24" priority="23" stopIfTrue="1" operator="containsText" text="Not Tested">
      <formula>NOT(ISERROR(SEARCH(("Not Tested"),(B2))))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464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464</v>
      </c>
      <c r="H1" s="6"/>
      <c r="I1" s="7"/>
      <c r="J1" s="5" t="s">
        <v>465</v>
      </c>
      <c r="K1" s="6"/>
      <c r="L1" s="7"/>
      <c r="M1" s="5" t="s">
        <v>466</v>
      </c>
      <c r="N1" s="6"/>
      <c r="O1" s="7"/>
    </row>
    <row r="2">
      <c r="A2" s="8"/>
      <c r="B2" s="9" t="s">
        <v>10</v>
      </c>
      <c r="C2" s="9" t="s">
        <v>10</v>
      </c>
      <c r="D2" s="9" t="s">
        <v>467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</row>
    <row r="3">
      <c r="A3" s="13" t="s">
        <v>8</v>
      </c>
      <c r="B3" s="9" t="s">
        <v>12</v>
      </c>
      <c r="C3" s="9" t="s">
        <v>12</v>
      </c>
      <c r="D3" s="9" t="s">
        <v>297</v>
      </c>
      <c r="E3" s="10"/>
      <c r="F3" s="14" t="s">
        <v>9</v>
      </c>
      <c r="G3" s="15" t="s">
        <v>10</v>
      </c>
      <c r="H3" s="15" t="s">
        <v>10</v>
      </c>
      <c r="I3" s="15" t="s">
        <v>292</v>
      </c>
      <c r="J3" s="15" t="s">
        <v>10</v>
      </c>
      <c r="K3" s="15" t="s">
        <v>292</v>
      </c>
      <c r="L3" s="15" t="s">
        <v>10</v>
      </c>
      <c r="M3" s="15" t="s">
        <v>10</v>
      </c>
      <c r="N3" s="15" t="s">
        <v>10</v>
      </c>
      <c r="O3" s="15" t="s">
        <v>292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12</v>
      </c>
      <c r="I4" s="15" t="s">
        <v>297</v>
      </c>
      <c r="J4" s="15" t="s">
        <v>12</v>
      </c>
      <c r="K4" s="15" t="s">
        <v>297</v>
      </c>
      <c r="L4" s="15" t="s">
        <v>12</v>
      </c>
      <c r="M4" s="15" t="s">
        <v>12</v>
      </c>
      <c r="N4" s="15" t="s">
        <v>12</v>
      </c>
      <c r="O4" s="15" t="s">
        <v>297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  <c r="M5" s="21"/>
      <c r="N5" s="21"/>
      <c r="O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48"/>
      <c r="H6" s="260"/>
      <c r="I6" s="279" t="s">
        <v>468</v>
      </c>
      <c r="J6" s="248"/>
      <c r="K6" s="260" t="s">
        <v>24</v>
      </c>
      <c r="L6" s="244"/>
      <c r="M6" s="248"/>
      <c r="N6" s="260"/>
      <c r="O6" s="279" t="s">
        <v>469</v>
      </c>
    </row>
    <row r="7">
      <c r="A7" s="32"/>
      <c r="B7" s="32"/>
      <c r="C7" s="91" t="s">
        <v>345</v>
      </c>
      <c r="D7" s="10"/>
      <c r="E7" s="247" t="s">
        <v>383</v>
      </c>
      <c r="F7" s="17"/>
      <c r="G7" s="248"/>
      <c r="H7" s="259"/>
      <c r="I7" s="296" t="s">
        <v>24</v>
      </c>
      <c r="J7" s="248"/>
      <c r="K7" s="259" t="s">
        <v>24</v>
      </c>
      <c r="L7" s="296"/>
      <c r="M7" s="248"/>
      <c r="N7" s="259"/>
      <c r="O7" s="296" t="s">
        <v>24</v>
      </c>
    </row>
    <row r="8">
      <c r="A8" s="32"/>
      <c r="B8" s="32"/>
      <c r="C8" s="91" t="s">
        <v>347</v>
      </c>
      <c r="D8" s="10"/>
      <c r="E8" s="249" t="s">
        <v>308</v>
      </c>
      <c r="F8" s="17"/>
      <c r="G8" s="248"/>
      <c r="H8" s="260"/>
      <c r="I8" s="274" t="s">
        <v>24</v>
      </c>
      <c r="J8" s="248"/>
      <c r="K8" s="260" t="s">
        <v>24</v>
      </c>
      <c r="L8" s="274"/>
      <c r="M8" s="248"/>
      <c r="N8" s="260"/>
      <c r="O8" s="274" t="s">
        <v>24</v>
      </c>
    </row>
    <row r="9">
      <c r="A9" s="32"/>
      <c r="B9" s="32"/>
      <c r="C9" s="87" t="s">
        <v>348</v>
      </c>
      <c r="D9" s="10"/>
      <c r="E9" s="245" t="s">
        <v>77</v>
      </c>
      <c r="F9" s="17"/>
      <c r="G9" s="248"/>
      <c r="H9" s="260"/>
      <c r="I9" s="262" t="s">
        <v>24</v>
      </c>
      <c r="J9" s="248"/>
      <c r="K9" s="260" t="s">
        <v>24</v>
      </c>
      <c r="L9" s="262"/>
      <c r="M9" s="248"/>
      <c r="N9" s="260"/>
      <c r="O9" s="262" t="s">
        <v>24</v>
      </c>
    </row>
    <row r="10">
      <c r="A10" s="32"/>
      <c r="B10" s="32"/>
      <c r="C10" s="87" t="s">
        <v>349</v>
      </c>
      <c r="D10" s="10"/>
      <c r="E10" s="245" t="s">
        <v>100</v>
      </c>
      <c r="F10" s="17"/>
      <c r="G10" s="248"/>
      <c r="H10" s="260"/>
      <c r="I10" s="297" t="s">
        <v>24</v>
      </c>
      <c r="J10" s="248"/>
      <c r="K10" s="260" t="s">
        <v>24</v>
      </c>
      <c r="L10" s="297"/>
      <c r="M10" s="248"/>
      <c r="N10" s="260"/>
      <c r="O10" s="297" t="s">
        <v>24</v>
      </c>
    </row>
    <row r="11">
      <c r="A11" s="32"/>
      <c r="B11" s="32"/>
      <c r="C11" s="87" t="s">
        <v>350</v>
      </c>
      <c r="D11" s="10"/>
      <c r="E11" s="10"/>
      <c r="F11" s="212" t="s">
        <v>351</v>
      </c>
      <c r="G11" s="248"/>
      <c r="H11" s="260"/>
      <c r="I11" s="244" t="s">
        <v>24</v>
      </c>
      <c r="J11" s="248"/>
      <c r="K11" s="260" t="s">
        <v>24</v>
      </c>
      <c r="L11" s="244"/>
      <c r="M11" s="248"/>
      <c r="N11" s="260"/>
      <c r="O11" s="279" t="s">
        <v>470</v>
      </c>
    </row>
    <row r="12">
      <c r="A12" s="32"/>
      <c r="B12" s="32"/>
      <c r="C12" s="77" t="s">
        <v>354</v>
      </c>
      <c r="D12" s="10"/>
      <c r="E12" s="10"/>
      <c r="F12" s="213" t="s">
        <v>83</v>
      </c>
      <c r="G12" s="248"/>
      <c r="H12" s="260"/>
      <c r="I12" s="262" t="s">
        <v>24</v>
      </c>
      <c r="J12" s="248"/>
      <c r="K12" s="260" t="s">
        <v>24</v>
      </c>
      <c r="L12" s="262"/>
      <c r="M12" s="248"/>
      <c r="N12" s="260"/>
      <c r="O12" s="262" t="s">
        <v>24</v>
      </c>
    </row>
    <row r="13">
      <c r="A13" s="32"/>
      <c r="B13" s="32"/>
      <c r="C13" s="214" t="s">
        <v>355</v>
      </c>
      <c r="D13" s="10"/>
      <c r="E13" s="245" t="s">
        <v>34</v>
      </c>
      <c r="F13" s="17"/>
      <c r="G13" s="248"/>
      <c r="H13" s="259"/>
      <c r="I13" s="298" t="s">
        <v>24</v>
      </c>
      <c r="J13" s="248"/>
      <c r="K13" s="259" t="s">
        <v>24</v>
      </c>
      <c r="L13" s="298"/>
      <c r="M13" s="248"/>
      <c r="N13" s="259"/>
      <c r="O13" s="298" t="s">
        <v>24</v>
      </c>
    </row>
    <row r="14">
      <c r="A14" s="32"/>
      <c r="B14" s="32"/>
      <c r="C14" s="77" t="s">
        <v>357</v>
      </c>
      <c r="D14" s="10"/>
      <c r="E14" s="245" t="s">
        <v>34</v>
      </c>
      <c r="F14" s="17"/>
      <c r="G14" s="248"/>
      <c r="H14" s="260"/>
      <c r="I14" s="262" t="s">
        <v>24</v>
      </c>
      <c r="J14" s="248"/>
      <c r="K14" s="260" t="s">
        <v>24</v>
      </c>
      <c r="L14" s="262"/>
      <c r="M14" s="248"/>
      <c r="N14" s="260"/>
      <c r="O14" s="262" t="s">
        <v>24</v>
      </c>
    </row>
    <row r="15">
      <c r="A15" s="32"/>
      <c r="B15" s="37"/>
      <c r="C15" s="77" t="s">
        <v>396</v>
      </c>
      <c r="D15" s="10"/>
      <c r="E15" s="245" t="s">
        <v>100</v>
      </c>
      <c r="F15" s="213" t="s">
        <v>103</v>
      </c>
      <c r="G15" s="248"/>
      <c r="H15" s="251"/>
      <c r="I15" s="299" t="s">
        <v>450</v>
      </c>
      <c r="J15" s="248"/>
      <c r="K15" s="282" t="s">
        <v>450</v>
      </c>
      <c r="L15" s="251"/>
      <c r="M15" s="248"/>
      <c r="N15" s="296"/>
      <c r="O15" s="251" t="s">
        <v>24</v>
      </c>
    </row>
    <row r="16">
      <c r="A16" s="32"/>
      <c r="B16" s="216" t="s">
        <v>362</v>
      </c>
      <c r="C16" s="204" t="s">
        <v>363</v>
      </c>
      <c r="D16" s="10"/>
      <c r="E16" s="10"/>
      <c r="F16" s="213" t="s">
        <v>364</v>
      </c>
      <c r="G16" s="258"/>
      <c r="H16" s="258"/>
      <c r="I16" s="305" t="s">
        <v>451</v>
      </c>
      <c r="J16" s="258"/>
      <c r="K16" s="305" t="s">
        <v>451</v>
      </c>
      <c r="L16" s="244"/>
      <c r="M16" s="258"/>
      <c r="N16" s="258"/>
      <c r="O16" s="244" t="s">
        <v>24</v>
      </c>
    </row>
    <row r="17">
      <c r="A17" s="32"/>
      <c r="B17" s="32"/>
      <c r="C17" s="204" t="s">
        <v>365</v>
      </c>
      <c r="D17" s="10"/>
      <c r="E17" s="10"/>
      <c r="F17" s="212" t="s">
        <v>105</v>
      </c>
      <c r="G17" s="248"/>
      <c r="H17" s="260"/>
      <c r="I17" s="262" t="s">
        <v>24</v>
      </c>
      <c r="J17" s="248"/>
      <c r="K17" s="260" t="s">
        <v>24</v>
      </c>
      <c r="L17" s="262"/>
      <c r="M17" s="248"/>
      <c r="N17" s="260"/>
      <c r="O17" s="262" t="s">
        <v>24</v>
      </c>
    </row>
    <row r="18">
      <c r="A18" s="32"/>
      <c r="B18" s="37"/>
      <c r="C18" s="217" t="s">
        <v>366</v>
      </c>
      <c r="D18" s="10"/>
      <c r="E18" s="10"/>
      <c r="F18" s="212" t="s">
        <v>107</v>
      </c>
      <c r="G18" s="248"/>
      <c r="H18" s="260"/>
      <c r="I18" s="262" t="s">
        <v>24</v>
      </c>
      <c r="J18" s="248"/>
      <c r="K18" s="260"/>
      <c r="L18" s="262"/>
      <c r="M18" s="248"/>
      <c r="N18" s="260"/>
      <c r="O18" s="262" t="s">
        <v>24</v>
      </c>
    </row>
    <row r="19">
      <c r="A19" s="203" t="s">
        <v>108</v>
      </c>
      <c r="B19" s="102" t="s">
        <v>109</v>
      </c>
      <c r="C19" s="77" t="s">
        <v>110</v>
      </c>
      <c r="D19" s="10"/>
      <c r="E19" s="10"/>
      <c r="F19" s="17"/>
      <c r="G19" s="248"/>
      <c r="H19" s="260"/>
      <c r="I19" s="262"/>
      <c r="J19" s="248"/>
      <c r="K19" s="260"/>
      <c r="L19" s="262"/>
      <c r="M19" s="248"/>
      <c r="N19" s="260"/>
      <c r="O19" s="262" t="s">
        <v>24</v>
      </c>
    </row>
    <row r="20">
      <c r="A20" s="32"/>
      <c r="B20" s="32"/>
      <c r="C20" s="77" t="s">
        <v>112</v>
      </c>
      <c r="D20" s="10"/>
      <c r="E20" s="10"/>
      <c r="F20" s="17"/>
      <c r="G20" s="248"/>
      <c r="H20" s="262"/>
      <c r="I20" s="262" t="s">
        <v>24</v>
      </c>
      <c r="J20" s="248"/>
      <c r="K20" s="262" t="s">
        <v>24</v>
      </c>
      <c r="L20" s="262"/>
      <c r="M20" s="248"/>
      <c r="N20" s="262"/>
      <c r="O20" s="262" t="s">
        <v>24</v>
      </c>
    </row>
    <row r="21">
      <c r="A21" s="32"/>
      <c r="B21" s="32"/>
      <c r="C21" s="83" t="s">
        <v>114</v>
      </c>
      <c r="D21" s="10"/>
      <c r="E21" s="243" t="s">
        <v>115</v>
      </c>
      <c r="F21" s="17"/>
      <c r="G21" s="248"/>
      <c r="H21" s="260"/>
      <c r="I21" s="262" t="s">
        <v>24</v>
      </c>
      <c r="J21" s="248"/>
      <c r="K21" s="260" t="s">
        <v>24</v>
      </c>
      <c r="L21" s="262"/>
      <c r="M21" s="248"/>
      <c r="N21" s="260"/>
      <c r="O21" s="262" t="s">
        <v>24</v>
      </c>
    </row>
    <row r="22">
      <c r="A22" s="32"/>
      <c r="B22" s="32"/>
      <c r="C22" s="85" t="s">
        <v>116</v>
      </c>
      <c r="D22" s="10"/>
      <c r="E22" s="10"/>
      <c r="F22" s="213" t="s">
        <v>117</v>
      </c>
      <c r="G22" s="248"/>
      <c r="H22" s="260"/>
      <c r="I22" s="262" t="s">
        <v>24</v>
      </c>
      <c r="J22" s="248"/>
      <c r="K22" s="260" t="s">
        <v>24</v>
      </c>
      <c r="L22" s="262"/>
      <c r="M22" s="248"/>
      <c r="N22" s="260"/>
      <c r="O22" s="262" t="s">
        <v>24</v>
      </c>
    </row>
    <row r="23">
      <c r="A23" s="32"/>
      <c r="B23" s="32"/>
      <c r="C23" s="87" t="s">
        <v>118</v>
      </c>
      <c r="D23" s="10"/>
      <c r="E23" s="252" t="s">
        <v>386</v>
      </c>
      <c r="F23" s="213"/>
      <c r="G23" s="248"/>
      <c r="H23" s="260"/>
      <c r="I23" s="262" t="s">
        <v>24</v>
      </c>
      <c r="J23" s="248"/>
      <c r="K23" s="260" t="s">
        <v>24</v>
      </c>
      <c r="L23" s="262"/>
      <c r="M23" s="248"/>
      <c r="N23" s="260"/>
      <c r="O23" s="262" t="s">
        <v>24</v>
      </c>
    </row>
    <row r="24">
      <c r="A24" s="32"/>
      <c r="B24" s="32"/>
      <c r="C24" s="90" t="s">
        <v>120</v>
      </c>
      <c r="D24" s="10"/>
      <c r="E24" s="252" t="s">
        <v>121</v>
      </c>
      <c r="F24" s="213" t="s">
        <v>122</v>
      </c>
      <c r="G24" s="248"/>
      <c r="H24" s="260"/>
      <c r="I24" s="262" t="s">
        <v>24</v>
      </c>
      <c r="J24" s="248"/>
      <c r="K24" s="260" t="s">
        <v>24</v>
      </c>
      <c r="L24" s="262"/>
      <c r="M24" s="248"/>
      <c r="N24" s="260"/>
      <c r="O24" s="262" t="s">
        <v>24</v>
      </c>
    </row>
    <row r="25">
      <c r="A25" s="32"/>
      <c r="B25" s="32"/>
      <c r="C25" s="91" t="s">
        <v>123</v>
      </c>
      <c r="D25" s="10"/>
      <c r="E25" s="10"/>
      <c r="F25" s="213" t="s">
        <v>124</v>
      </c>
      <c r="G25" s="258"/>
      <c r="H25" s="258"/>
      <c r="I25" s="244" t="s">
        <v>24</v>
      </c>
      <c r="J25" s="258"/>
      <c r="K25" s="258" t="s">
        <v>24</v>
      </c>
      <c r="L25" s="244"/>
      <c r="M25" s="258"/>
      <c r="N25" s="258"/>
      <c r="O25" s="244" t="s">
        <v>24</v>
      </c>
    </row>
    <row r="26">
      <c r="A26" s="32"/>
      <c r="B26" s="32"/>
      <c r="C26" s="92" t="s">
        <v>125</v>
      </c>
      <c r="D26" s="10"/>
      <c r="E26" s="10"/>
      <c r="F26" s="213" t="s">
        <v>126</v>
      </c>
      <c r="G26" s="258"/>
      <c r="H26" s="244"/>
      <c r="I26" s="244" t="s">
        <v>24</v>
      </c>
      <c r="J26" s="258"/>
      <c r="K26" s="244" t="s">
        <v>24</v>
      </c>
      <c r="L26" s="244"/>
      <c r="M26" s="258"/>
      <c r="N26" s="244"/>
      <c r="O26" s="244" t="s">
        <v>24</v>
      </c>
    </row>
    <row r="27">
      <c r="A27" s="32"/>
      <c r="B27" s="32"/>
      <c r="C27" s="77" t="s">
        <v>127</v>
      </c>
      <c r="D27" s="10"/>
      <c r="E27" s="10"/>
      <c r="F27" s="213" t="s">
        <v>128</v>
      </c>
      <c r="G27" s="258"/>
      <c r="H27" s="258"/>
      <c r="I27" s="244" t="s">
        <v>24</v>
      </c>
      <c r="J27" s="258"/>
      <c r="K27" s="258" t="s">
        <v>24</v>
      </c>
      <c r="L27" s="244"/>
      <c r="M27" s="258"/>
      <c r="N27" s="258"/>
      <c r="O27" s="244" t="s">
        <v>24</v>
      </c>
    </row>
    <row r="28">
      <c r="A28" s="32"/>
      <c r="B28" s="32"/>
      <c r="C28" s="93" t="s">
        <v>129</v>
      </c>
      <c r="D28" s="10"/>
      <c r="E28" s="245" t="s">
        <v>313</v>
      </c>
      <c r="F28" s="17"/>
      <c r="G28" s="248"/>
      <c r="H28" s="258"/>
      <c r="I28" s="262" t="s">
        <v>24</v>
      </c>
      <c r="J28" s="248"/>
      <c r="K28" s="258" t="s">
        <v>24</v>
      </c>
      <c r="L28" s="262"/>
      <c r="M28" s="248"/>
      <c r="N28" s="258"/>
      <c r="O28" s="262" t="s">
        <v>24</v>
      </c>
    </row>
    <row r="29">
      <c r="A29" s="32"/>
      <c r="B29" s="32"/>
      <c r="C29" s="92" t="s">
        <v>368</v>
      </c>
      <c r="D29" s="10"/>
      <c r="E29" s="10"/>
      <c r="F29" s="17"/>
      <c r="G29" s="248"/>
      <c r="H29" s="260"/>
      <c r="I29" s="262" t="s">
        <v>24</v>
      </c>
      <c r="J29" s="248"/>
      <c r="K29" s="260" t="s">
        <v>24</v>
      </c>
      <c r="L29" s="262"/>
      <c r="M29" s="248"/>
      <c r="N29" s="260"/>
      <c r="O29" s="262" t="s">
        <v>24</v>
      </c>
    </row>
    <row r="30">
      <c r="A30" s="32"/>
      <c r="B30" s="32"/>
      <c r="C30" s="98" t="s">
        <v>134</v>
      </c>
      <c r="D30" s="10"/>
      <c r="E30" s="10"/>
      <c r="F30" s="221" t="s">
        <v>136</v>
      </c>
      <c r="G30" s="248"/>
      <c r="H30" s="260"/>
      <c r="I30" s="244" t="s">
        <v>24</v>
      </c>
      <c r="J30" s="248"/>
      <c r="K30" s="260" t="s">
        <v>24</v>
      </c>
      <c r="L30" s="244"/>
      <c r="M30" s="248"/>
      <c r="N30" s="260"/>
      <c r="O30" s="279" t="s">
        <v>469</v>
      </c>
    </row>
    <row r="31">
      <c r="A31" s="32"/>
      <c r="B31" s="32"/>
      <c r="C31" s="92" t="s">
        <v>137</v>
      </c>
      <c r="D31" s="10"/>
      <c r="E31" s="10"/>
      <c r="F31" s="17"/>
      <c r="G31" s="248"/>
      <c r="H31" s="259"/>
      <c r="I31" s="262" t="s">
        <v>24</v>
      </c>
      <c r="J31" s="248"/>
      <c r="K31" s="259" t="s">
        <v>24</v>
      </c>
      <c r="L31" s="262"/>
      <c r="M31" s="248"/>
      <c r="N31" s="259"/>
      <c r="O31" s="262" t="s">
        <v>24</v>
      </c>
    </row>
    <row r="32">
      <c r="A32" s="32"/>
      <c r="B32" s="32"/>
      <c r="C32" s="92" t="s">
        <v>138</v>
      </c>
      <c r="D32" s="10"/>
      <c r="E32" s="10"/>
      <c r="F32" s="17"/>
      <c r="G32" s="248"/>
      <c r="H32" s="260"/>
      <c r="I32" s="262" t="s">
        <v>24</v>
      </c>
      <c r="J32" s="248"/>
      <c r="K32" s="260" t="s">
        <v>24</v>
      </c>
      <c r="L32" s="262"/>
      <c r="M32" s="248"/>
      <c r="N32" s="260"/>
      <c r="O32" s="262" t="s">
        <v>24</v>
      </c>
    </row>
    <row r="33">
      <c r="A33" s="32"/>
      <c r="B33" s="37"/>
      <c r="C33" s="101" t="s">
        <v>139</v>
      </c>
      <c r="D33" s="10"/>
      <c r="E33" s="10"/>
      <c r="F33" s="17"/>
      <c r="G33" s="248"/>
      <c r="H33" s="260"/>
      <c r="I33" s="262" t="s">
        <v>24</v>
      </c>
      <c r="J33" s="248"/>
      <c r="K33" s="260" t="s">
        <v>24</v>
      </c>
      <c r="L33" s="262"/>
      <c r="M33" s="248"/>
      <c r="N33" s="260"/>
      <c r="O33" s="262" t="s">
        <v>24</v>
      </c>
    </row>
    <row r="34">
      <c r="A34" s="32"/>
      <c r="B34" s="102" t="s">
        <v>140</v>
      </c>
      <c r="C34" s="103" t="s">
        <v>141</v>
      </c>
      <c r="D34" s="245" t="s">
        <v>180</v>
      </c>
      <c r="E34" s="245" t="s">
        <v>453</v>
      </c>
      <c r="F34" s="17"/>
      <c r="G34" s="248"/>
      <c r="H34" s="260"/>
      <c r="I34" s="274" t="s">
        <v>24</v>
      </c>
      <c r="J34" s="248"/>
      <c r="K34" s="260" t="s">
        <v>24</v>
      </c>
      <c r="L34" s="274"/>
      <c r="M34" s="248"/>
      <c r="N34" s="260"/>
      <c r="O34" s="274" t="s">
        <v>24</v>
      </c>
    </row>
    <row r="35">
      <c r="A35" s="32"/>
      <c r="B35" s="32"/>
      <c r="C35" s="93" t="s">
        <v>146</v>
      </c>
      <c r="D35" s="10"/>
      <c r="E35" s="10"/>
      <c r="F35" s="213" t="s">
        <v>147</v>
      </c>
      <c r="G35" s="248"/>
      <c r="H35" s="260"/>
      <c r="I35" s="262" t="s">
        <v>24</v>
      </c>
      <c r="J35" s="248"/>
      <c r="K35" s="260" t="s">
        <v>24</v>
      </c>
      <c r="L35" s="262"/>
      <c r="M35" s="248"/>
      <c r="N35" s="260"/>
      <c r="O35" s="262" t="s">
        <v>24</v>
      </c>
    </row>
    <row r="36">
      <c r="A36" s="32"/>
      <c r="B36" s="32"/>
      <c r="C36" s="107" t="s">
        <v>148</v>
      </c>
      <c r="D36" s="10"/>
      <c r="E36" s="10"/>
      <c r="F36" s="213" t="s">
        <v>149</v>
      </c>
      <c r="G36" s="248"/>
      <c r="H36" s="260"/>
      <c r="I36" s="274" t="s">
        <v>24</v>
      </c>
      <c r="J36" s="248"/>
      <c r="K36" s="260"/>
      <c r="L36" s="274"/>
      <c r="M36" s="248"/>
      <c r="N36" s="260"/>
      <c r="O36" s="274" t="s">
        <v>24</v>
      </c>
    </row>
    <row r="37">
      <c r="A37" s="32"/>
      <c r="B37" s="32"/>
      <c r="C37" s="108" t="s">
        <v>150</v>
      </c>
      <c r="D37" s="10"/>
      <c r="E37" s="10"/>
      <c r="F37" s="213" t="s">
        <v>149</v>
      </c>
      <c r="G37" s="248"/>
      <c r="H37" s="260"/>
      <c r="I37" s="262" t="s">
        <v>24</v>
      </c>
      <c r="J37" s="248"/>
      <c r="K37" s="260" t="s">
        <v>24</v>
      </c>
      <c r="L37" s="262"/>
      <c r="M37" s="248"/>
      <c r="N37" s="260"/>
      <c r="O37" s="262" t="s">
        <v>24</v>
      </c>
    </row>
    <row r="38">
      <c r="A38" s="32"/>
      <c r="B38" s="32"/>
      <c r="C38" s="110" t="s">
        <v>154</v>
      </c>
      <c r="D38" s="10"/>
      <c r="E38" s="10"/>
      <c r="F38" s="17"/>
      <c r="G38" s="248"/>
      <c r="H38" s="259"/>
      <c r="I38" s="244" t="s">
        <v>24</v>
      </c>
      <c r="J38" s="248"/>
      <c r="K38" s="259" t="s">
        <v>24</v>
      </c>
      <c r="L38" s="244"/>
      <c r="M38" s="248"/>
      <c r="N38" s="259"/>
      <c r="O38" s="244" t="s">
        <v>24</v>
      </c>
    </row>
    <row r="39">
      <c r="A39" s="32"/>
      <c r="B39" s="32"/>
      <c r="C39" s="111" t="s">
        <v>155</v>
      </c>
      <c r="D39" s="10"/>
      <c r="E39" s="10"/>
      <c r="F39" s="221" t="s">
        <v>397</v>
      </c>
      <c r="G39" s="244"/>
      <c r="H39" s="251"/>
      <c r="I39" s="251" t="s">
        <v>397</v>
      </c>
      <c r="J39" s="244"/>
      <c r="K39" s="251" t="s">
        <v>397</v>
      </c>
      <c r="L39" s="251"/>
      <c r="M39" s="244"/>
      <c r="N39" s="251"/>
      <c r="O39" s="251" t="s">
        <v>397</v>
      </c>
    </row>
    <row r="40">
      <c r="A40" s="32"/>
      <c r="B40" s="32"/>
      <c r="C40" s="112" t="s">
        <v>157</v>
      </c>
      <c r="D40" s="10"/>
      <c r="E40" s="243" t="s">
        <v>158</v>
      </c>
      <c r="F40" s="17"/>
      <c r="G40" s="248"/>
      <c r="H40" s="260"/>
      <c r="I40" s="244" t="s">
        <v>24</v>
      </c>
      <c r="J40" s="248"/>
      <c r="K40" s="260" t="s">
        <v>24</v>
      </c>
      <c r="L40" s="244"/>
      <c r="M40" s="248"/>
      <c r="N40" s="260"/>
      <c r="O40" s="279" t="s">
        <v>471</v>
      </c>
    </row>
    <row r="41">
      <c r="A41" s="32"/>
      <c r="B41" s="32"/>
      <c r="C41" s="83" t="s">
        <v>159</v>
      </c>
      <c r="D41" s="10"/>
      <c r="E41" s="10"/>
      <c r="F41" s="17"/>
      <c r="G41" s="248"/>
      <c r="H41" s="260"/>
      <c r="I41" s="262" t="s">
        <v>24</v>
      </c>
      <c r="J41" s="248"/>
      <c r="K41" s="260" t="s">
        <v>24</v>
      </c>
      <c r="L41" s="262"/>
      <c r="M41" s="248"/>
      <c r="N41" s="260"/>
      <c r="O41" s="262"/>
    </row>
    <row r="42">
      <c r="A42" s="32"/>
      <c r="B42" s="32"/>
      <c r="C42" s="93" t="s">
        <v>161</v>
      </c>
      <c r="D42" s="10"/>
      <c r="E42" s="10"/>
      <c r="F42" s="17"/>
      <c r="G42" s="248"/>
      <c r="H42" s="260"/>
      <c r="I42" s="262" t="s">
        <v>24</v>
      </c>
      <c r="J42" s="248"/>
      <c r="K42" s="260" t="s">
        <v>24</v>
      </c>
      <c r="L42" s="262"/>
      <c r="M42" s="248"/>
      <c r="N42" s="260"/>
      <c r="O42" s="262"/>
    </row>
    <row r="43">
      <c r="A43" s="32"/>
      <c r="B43" s="32"/>
      <c r="C43" s="93" t="s">
        <v>162</v>
      </c>
      <c r="D43" s="10"/>
      <c r="E43" s="10"/>
      <c r="F43" s="223"/>
      <c r="G43" s="248"/>
      <c r="H43" s="260"/>
      <c r="I43" s="262" t="s">
        <v>24</v>
      </c>
      <c r="J43" s="248"/>
      <c r="K43" s="260" t="s">
        <v>24</v>
      </c>
      <c r="L43" s="262"/>
      <c r="M43" s="248"/>
      <c r="N43" s="260"/>
      <c r="O43" s="262"/>
    </row>
    <row r="44">
      <c r="A44" s="32"/>
      <c r="B44" s="32"/>
      <c r="C44" s="106" t="s">
        <v>164</v>
      </c>
      <c r="D44" s="10"/>
      <c r="E44" s="10"/>
      <c r="F44" s="224" t="s">
        <v>165</v>
      </c>
      <c r="G44" s="248"/>
      <c r="H44" s="260"/>
      <c r="I44" s="262" t="s">
        <v>24</v>
      </c>
      <c r="J44" s="248"/>
      <c r="K44" s="260" t="s">
        <v>24</v>
      </c>
      <c r="L44" s="262"/>
      <c r="M44" s="248"/>
      <c r="N44" s="260"/>
      <c r="O44" s="262"/>
    </row>
    <row r="45">
      <c r="A45" s="32"/>
      <c r="B45" s="32"/>
      <c r="C45" s="106" t="s">
        <v>166</v>
      </c>
      <c r="D45" s="10"/>
      <c r="E45" s="10"/>
      <c r="F45" s="213" t="s">
        <v>472</v>
      </c>
      <c r="G45" s="248"/>
      <c r="H45" s="260"/>
      <c r="I45" s="262" t="s">
        <v>24</v>
      </c>
      <c r="J45" s="248"/>
      <c r="K45" s="260" t="s">
        <v>24</v>
      </c>
      <c r="L45" s="262"/>
      <c r="M45" s="248"/>
      <c r="N45" s="260"/>
      <c r="O45" s="262" t="s">
        <v>24</v>
      </c>
    </row>
    <row r="46">
      <c r="A46" s="32"/>
      <c r="B46" s="37"/>
      <c r="C46" s="93" t="s">
        <v>168</v>
      </c>
      <c r="D46" s="10"/>
      <c r="E46" s="10"/>
      <c r="F46" s="17"/>
      <c r="G46" s="248"/>
      <c r="H46" s="244"/>
      <c r="I46" s="279" t="s">
        <v>458</v>
      </c>
      <c r="J46" s="248"/>
      <c r="K46" s="279" t="s">
        <v>458</v>
      </c>
      <c r="L46" s="244"/>
      <c r="M46" s="248"/>
      <c r="N46" s="260"/>
      <c r="O46" s="279" t="s">
        <v>458</v>
      </c>
    </row>
    <row r="47">
      <c r="A47" s="32"/>
      <c r="B47" s="115" t="s">
        <v>169</v>
      </c>
      <c r="C47" s="85" t="s">
        <v>141</v>
      </c>
      <c r="D47" s="10"/>
      <c r="E47" s="10"/>
      <c r="F47" s="213" t="s">
        <v>170</v>
      </c>
      <c r="G47" s="248"/>
      <c r="H47" s="260"/>
      <c r="I47" s="262" t="s">
        <v>24</v>
      </c>
      <c r="J47" s="248"/>
      <c r="K47" s="260" t="s">
        <v>24</v>
      </c>
      <c r="L47" s="262"/>
      <c r="M47" s="248"/>
      <c r="N47" s="260"/>
      <c r="O47" s="262" t="s">
        <v>24</v>
      </c>
    </row>
    <row r="48">
      <c r="A48" s="32"/>
      <c r="B48" s="32"/>
      <c r="C48" s="85" t="s">
        <v>171</v>
      </c>
      <c r="D48" s="10"/>
      <c r="E48" s="10"/>
      <c r="F48" s="17"/>
      <c r="G48" s="248"/>
      <c r="H48" s="260"/>
      <c r="I48" s="262" t="s">
        <v>24</v>
      </c>
      <c r="J48" s="248"/>
      <c r="K48" s="260" t="s">
        <v>24</v>
      </c>
      <c r="L48" s="262"/>
      <c r="M48" s="248"/>
      <c r="N48" s="260"/>
      <c r="O48" s="262" t="s">
        <v>24</v>
      </c>
    </row>
    <row r="49">
      <c r="A49" s="32"/>
      <c r="B49" s="32"/>
      <c r="C49" s="116" t="s">
        <v>315</v>
      </c>
      <c r="D49" s="10"/>
      <c r="E49" s="10"/>
      <c r="F49" s="225" t="s">
        <v>176</v>
      </c>
      <c r="G49" s="248"/>
      <c r="H49" s="260"/>
      <c r="I49" s="262"/>
      <c r="J49" s="248"/>
      <c r="K49" s="260" t="s">
        <v>24</v>
      </c>
      <c r="L49" s="262"/>
      <c r="M49" s="248"/>
      <c r="N49" s="260"/>
      <c r="O49" s="262"/>
    </row>
    <row r="50">
      <c r="A50" s="32"/>
      <c r="B50" s="37"/>
      <c r="C50" s="77" t="s">
        <v>177</v>
      </c>
      <c r="D50" s="10"/>
      <c r="E50" s="10"/>
      <c r="F50" s="17"/>
      <c r="G50" s="248"/>
      <c r="H50" s="260"/>
      <c r="I50" s="262" t="s">
        <v>24</v>
      </c>
      <c r="J50" s="248"/>
      <c r="K50" s="260" t="s">
        <v>24</v>
      </c>
      <c r="L50" s="262"/>
      <c r="M50" s="248"/>
      <c r="N50" s="260"/>
      <c r="O50" s="262" t="s">
        <v>24</v>
      </c>
    </row>
    <row r="51">
      <c r="A51" s="32"/>
      <c r="B51" s="102" t="s">
        <v>178</v>
      </c>
      <c r="C51" s="93" t="s">
        <v>179</v>
      </c>
      <c r="D51" s="10"/>
      <c r="E51" s="10"/>
      <c r="F51" s="17"/>
      <c r="G51" s="248"/>
      <c r="H51" s="260"/>
      <c r="I51" s="262" t="s">
        <v>24</v>
      </c>
      <c r="J51" s="248"/>
      <c r="K51" s="260" t="s">
        <v>24</v>
      </c>
      <c r="L51" s="262"/>
      <c r="M51" s="248"/>
      <c r="N51" s="260"/>
      <c r="O51" s="262" t="s">
        <v>24</v>
      </c>
    </row>
    <row r="52">
      <c r="A52" s="32"/>
      <c r="B52" s="32"/>
      <c r="C52" s="93" t="s">
        <v>141</v>
      </c>
      <c r="D52" s="10"/>
      <c r="E52" s="10"/>
      <c r="F52" s="17"/>
      <c r="G52" s="248"/>
      <c r="H52" s="244"/>
      <c r="I52" s="244" t="s">
        <v>24</v>
      </c>
      <c r="J52" s="248"/>
      <c r="K52" s="244" t="s">
        <v>24</v>
      </c>
      <c r="L52" s="244"/>
      <c r="M52" s="248"/>
      <c r="N52" s="244"/>
      <c r="O52" s="244" t="s">
        <v>24</v>
      </c>
    </row>
    <row r="53">
      <c r="A53" s="32"/>
      <c r="B53" s="32"/>
      <c r="C53" s="106" t="s">
        <v>181</v>
      </c>
      <c r="D53" s="10"/>
      <c r="E53" s="10"/>
      <c r="F53" s="213" t="s">
        <v>182</v>
      </c>
      <c r="G53" s="248"/>
      <c r="H53" s="260"/>
      <c r="I53" s="274"/>
      <c r="J53" s="248"/>
      <c r="K53" s="260" t="s">
        <v>12</v>
      </c>
      <c r="L53" s="274"/>
      <c r="M53" s="248"/>
      <c r="N53" s="260"/>
      <c r="O53" s="274" t="s">
        <v>24</v>
      </c>
    </row>
    <row r="54">
      <c r="A54" s="32"/>
      <c r="B54" s="32"/>
      <c r="C54" s="93" t="s">
        <v>183</v>
      </c>
      <c r="D54" s="10"/>
      <c r="E54" s="10"/>
      <c r="F54" s="17"/>
      <c r="G54" s="248"/>
      <c r="H54" s="260"/>
      <c r="I54" s="262" t="s">
        <v>24</v>
      </c>
      <c r="J54" s="248"/>
      <c r="K54" s="260" t="s">
        <v>24</v>
      </c>
      <c r="L54" s="262"/>
      <c r="M54" s="248"/>
      <c r="N54" s="260"/>
      <c r="O54" s="262" t="s">
        <v>24</v>
      </c>
    </row>
    <row r="55">
      <c r="A55" s="32"/>
      <c r="B55" s="32"/>
      <c r="C55" s="93" t="s">
        <v>184</v>
      </c>
      <c r="D55" s="10"/>
      <c r="E55" s="10"/>
      <c r="F55" s="17"/>
      <c r="G55" s="248"/>
      <c r="H55" s="260"/>
      <c r="I55" s="244" t="s">
        <v>24</v>
      </c>
      <c r="J55" s="248"/>
      <c r="K55" s="260" t="s">
        <v>24</v>
      </c>
      <c r="L55" s="262"/>
      <c r="M55" s="248"/>
      <c r="N55" s="260"/>
      <c r="O55" s="262" t="s">
        <v>24</v>
      </c>
    </row>
    <row r="56">
      <c r="A56" s="32"/>
      <c r="B56" s="32"/>
      <c r="C56" s="106" t="s">
        <v>185</v>
      </c>
      <c r="D56" s="10"/>
      <c r="E56" s="10"/>
      <c r="F56" s="213" t="s">
        <v>186</v>
      </c>
      <c r="G56" s="248"/>
      <c r="H56" s="244"/>
      <c r="I56" s="306" t="s">
        <v>24</v>
      </c>
      <c r="J56" s="248"/>
      <c r="K56" s="279" t="s">
        <v>473</v>
      </c>
      <c r="L56" s="244"/>
      <c r="M56" s="248"/>
      <c r="N56" s="244"/>
      <c r="O56" s="279" t="s">
        <v>473</v>
      </c>
    </row>
    <row r="57">
      <c r="A57" s="32"/>
      <c r="B57" s="32"/>
      <c r="C57" s="87" t="s">
        <v>187</v>
      </c>
      <c r="D57" s="10"/>
      <c r="E57" s="10"/>
      <c r="F57" s="17"/>
      <c r="G57" s="248"/>
      <c r="H57" s="260"/>
      <c r="I57" s="279" t="s">
        <v>189</v>
      </c>
      <c r="J57" s="248"/>
      <c r="K57" s="260" t="s">
        <v>24</v>
      </c>
      <c r="L57" s="262"/>
      <c r="M57" s="248"/>
      <c r="N57" s="260"/>
      <c r="O57" s="262"/>
    </row>
    <row r="58">
      <c r="A58" s="32"/>
      <c r="B58" s="32"/>
      <c r="C58" s="77" t="s">
        <v>190</v>
      </c>
      <c r="D58" s="10"/>
      <c r="E58" s="10"/>
      <c r="F58" s="17"/>
      <c r="G58" s="248"/>
      <c r="H58" s="265"/>
      <c r="I58" s="302" t="s">
        <v>459</v>
      </c>
      <c r="J58" s="248"/>
      <c r="K58" s="302" t="s">
        <v>459</v>
      </c>
      <c r="L58" s="265"/>
      <c r="M58" s="248"/>
      <c r="N58" s="292"/>
      <c r="O58" s="302" t="s">
        <v>459</v>
      </c>
    </row>
    <row r="59">
      <c r="A59" s="32"/>
      <c r="B59" s="32"/>
      <c r="C59" s="106" t="s">
        <v>425</v>
      </c>
      <c r="D59" s="10"/>
      <c r="E59" s="10"/>
      <c r="F59" s="213" t="s">
        <v>192</v>
      </c>
      <c r="G59" s="248"/>
      <c r="H59" s="260"/>
      <c r="I59" s="262" t="s">
        <v>24</v>
      </c>
      <c r="J59" s="248"/>
      <c r="K59" s="260" t="s">
        <v>24</v>
      </c>
      <c r="L59" s="262"/>
      <c r="M59" s="248"/>
      <c r="N59" s="260"/>
      <c r="O59" s="262" t="s">
        <v>24</v>
      </c>
    </row>
    <row r="60">
      <c r="A60" s="32"/>
      <c r="B60" s="32"/>
      <c r="C60" s="106" t="s">
        <v>193</v>
      </c>
      <c r="D60" s="10"/>
      <c r="E60" s="10"/>
      <c r="F60" s="17"/>
      <c r="G60" s="248"/>
      <c r="H60" s="260"/>
      <c r="I60" s="262" t="s">
        <v>24</v>
      </c>
      <c r="J60" s="248"/>
      <c r="K60" s="260" t="s">
        <v>24</v>
      </c>
      <c r="L60" s="262"/>
      <c r="M60" s="248"/>
      <c r="N60" s="260"/>
      <c r="O60" s="262" t="s">
        <v>24</v>
      </c>
    </row>
    <row r="61">
      <c r="A61" s="32"/>
      <c r="B61" s="32"/>
      <c r="C61" s="93" t="s">
        <v>194</v>
      </c>
      <c r="D61" s="10"/>
      <c r="E61" s="10"/>
      <c r="F61" s="17"/>
      <c r="G61" s="248"/>
      <c r="H61" s="260"/>
      <c r="I61" s="262" t="s">
        <v>24</v>
      </c>
      <c r="J61" s="248"/>
      <c r="K61" s="260" t="s">
        <v>24</v>
      </c>
      <c r="L61" s="262"/>
      <c r="M61" s="248"/>
      <c r="N61" s="260"/>
      <c r="O61" s="262" t="s">
        <v>24</v>
      </c>
    </row>
    <row r="62">
      <c r="A62" s="32"/>
      <c r="B62" s="32"/>
      <c r="C62" s="103" t="s">
        <v>195</v>
      </c>
      <c r="D62" s="10"/>
      <c r="E62" s="10"/>
      <c r="F62" s="213" t="s">
        <v>196</v>
      </c>
      <c r="G62" s="248"/>
      <c r="H62" s="260"/>
      <c r="I62" s="262" t="s">
        <v>24</v>
      </c>
      <c r="J62" s="248"/>
      <c r="K62" s="260"/>
      <c r="L62" s="262"/>
      <c r="M62" s="248"/>
      <c r="N62" s="260"/>
      <c r="O62" s="262" t="s">
        <v>24</v>
      </c>
    </row>
    <row r="63">
      <c r="A63" s="32"/>
      <c r="B63" s="32"/>
      <c r="C63" s="93" t="s">
        <v>197</v>
      </c>
      <c r="D63" s="10"/>
      <c r="E63" s="10"/>
      <c r="F63" s="213" t="s">
        <v>196</v>
      </c>
      <c r="G63" s="248"/>
      <c r="H63" s="260"/>
      <c r="I63" s="262" t="s">
        <v>24</v>
      </c>
      <c r="J63" s="248"/>
      <c r="K63" s="260"/>
      <c r="L63" s="262"/>
      <c r="M63" s="248"/>
      <c r="N63" s="260"/>
      <c r="O63" s="262"/>
    </row>
    <row r="64">
      <c r="A64" s="32"/>
      <c r="B64" s="32"/>
      <c r="C64" s="93" t="s">
        <v>198</v>
      </c>
      <c r="D64" s="10"/>
      <c r="E64" s="10"/>
      <c r="F64" s="213" t="s">
        <v>196</v>
      </c>
      <c r="G64" s="248"/>
      <c r="H64" s="260"/>
      <c r="I64" s="262" t="s">
        <v>24</v>
      </c>
      <c r="J64" s="248"/>
      <c r="K64" s="260"/>
      <c r="L64" s="262"/>
      <c r="M64" s="248"/>
      <c r="N64" s="260"/>
      <c r="O64" s="262"/>
    </row>
    <row r="65">
      <c r="A65" s="32"/>
      <c r="B65" s="32"/>
      <c r="C65" s="106" t="s">
        <v>201</v>
      </c>
      <c r="D65" s="10"/>
      <c r="E65" s="10"/>
      <c r="F65" s="213" t="s">
        <v>202</v>
      </c>
      <c r="G65" s="248"/>
      <c r="H65" s="260"/>
      <c r="I65" s="262" t="s">
        <v>24</v>
      </c>
      <c r="J65" s="248"/>
      <c r="K65" s="260"/>
      <c r="L65" s="262"/>
      <c r="M65" s="248"/>
      <c r="N65" s="260"/>
      <c r="O65" s="262"/>
    </row>
    <row r="66">
      <c r="A66" s="32"/>
      <c r="B66" s="32"/>
      <c r="C66" s="119" t="s">
        <v>203</v>
      </c>
      <c r="D66" s="10"/>
      <c r="E66" s="10"/>
      <c r="F66" s="213" t="s">
        <v>124</v>
      </c>
      <c r="G66" s="248"/>
      <c r="H66" s="292"/>
      <c r="I66" s="303" t="s">
        <v>24</v>
      </c>
      <c r="J66" s="248"/>
      <c r="K66" s="292" t="s">
        <v>24</v>
      </c>
      <c r="L66" s="303"/>
      <c r="M66" s="248"/>
      <c r="N66" s="292"/>
      <c r="O66" s="303" t="s">
        <v>24</v>
      </c>
    </row>
    <row r="67">
      <c r="A67" s="32"/>
      <c r="B67" s="32"/>
      <c r="C67" s="120" t="s">
        <v>316</v>
      </c>
      <c r="D67" s="10"/>
      <c r="E67" s="10"/>
      <c r="F67" s="213" t="s">
        <v>124</v>
      </c>
      <c r="G67" s="248"/>
      <c r="H67" s="259"/>
      <c r="I67" s="262" t="s">
        <v>24</v>
      </c>
      <c r="J67" s="248"/>
      <c r="K67" s="259" t="s">
        <v>24</v>
      </c>
      <c r="L67" s="262"/>
      <c r="M67" s="248"/>
      <c r="N67" s="259"/>
      <c r="O67" s="262" t="s">
        <v>24</v>
      </c>
    </row>
    <row r="68">
      <c r="A68" s="32"/>
      <c r="B68" s="37"/>
      <c r="C68" s="121" t="s">
        <v>205</v>
      </c>
      <c r="D68" s="245" t="s">
        <v>206</v>
      </c>
      <c r="E68" s="10"/>
      <c r="F68" s="213" t="s">
        <v>207</v>
      </c>
      <c r="G68" s="248"/>
      <c r="H68" s="260"/>
      <c r="I68" s="262" t="s">
        <v>24</v>
      </c>
      <c r="J68" s="248"/>
      <c r="K68" s="260"/>
      <c r="L68" s="262"/>
      <c r="M68" s="248"/>
      <c r="N68" s="260"/>
      <c r="O68" s="262" t="s">
        <v>24</v>
      </c>
    </row>
    <row r="69">
      <c r="A69" s="32"/>
      <c r="B69" s="102" t="s">
        <v>208</v>
      </c>
      <c r="C69" s="106" t="s">
        <v>209</v>
      </c>
      <c r="D69" s="10"/>
      <c r="E69" s="10"/>
      <c r="F69" s="17"/>
      <c r="G69" s="248"/>
      <c r="H69" s="260"/>
      <c r="I69" s="262" t="s">
        <v>24</v>
      </c>
      <c r="J69" s="248"/>
      <c r="K69" s="260" t="s">
        <v>24</v>
      </c>
      <c r="L69" s="262"/>
      <c r="M69" s="248"/>
      <c r="N69" s="260"/>
      <c r="O69" s="262" t="s">
        <v>24</v>
      </c>
    </row>
    <row r="70">
      <c r="A70" s="32"/>
      <c r="B70" s="32"/>
      <c r="C70" s="123" t="s">
        <v>210</v>
      </c>
      <c r="D70" s="10"/>
      <c r="E70" s="10"/>
      <c r="F70" s="213" t="s">
        <v>211</v>
      </c>
      <c r="G70" s="248"/>
      <c r="H70" s="260"/>
      <c r="I70" s="262" t="s">
        <v>24</v>
      </c>
      <c r="J70" s="248"/>
      <c r="K70" s="260" t="s">
        <v>24</v>
      </c>
      <c r="L70" s="262"/>
      <c r="M70" s="248"/>
      <c r="N70" s="260"/>
      <c r="O70" s="262" t="s">
        <v>24</v>
      </c>
    </row>
    <row r="71">
      <c r="A71" s="32"/>
      <c r="B71" s="32"/>
      <c r="C71" s="124" t="s">
        <v>212</v>
      </c>
      <c r="D71" s="10"/>
      <c r="E71" s="10"/>
      <c r="F71" s="17"/>
      <c r="G71" s="248"/>
      <c r="H71" s="260"/>
      <c r="I71" s="262" t="s">
        <v>24</v>
      </c>
      <c r="J71" s="248"/>
      <c r="K71" s="260" t="s">
        <v>24</v>
      </c>
      <c r="L71" s="262"/>
      <c r="M71" s="248"/>
      <c r="N71" s="260"/>
      <c r="O71" s="262" t="s">
        <v>24</v>
      </c>
    </row>
    <row r="72">
      <c r="A72" s="32"/>
      <c r="B72" s="32"/>
      <c r="C72" s="125" t="s">
        <v>213</v>
      </c>
      <c r="D72" s="10"/>
      <c r="E72" s="10"/>
      <c r="F72" s="17"/>
      <c r="G72" s="248"/>
      <c r="H72" s="260"/>
      <c r="I72" s="262" t="s">
        <v>24</v>
      </c>
      <c r="J72" s="248"/>
      <c r="K72" s="260" t="s">
        <v>24</v>
      </c>
      <c r="L72" s="262"/>
      <c r="M72" s="248"/>
      <c r="N72" s="260"/>
      <c r="O72" s="262" t="s">
        <v>24</v>
      </c>
    </row>
    <row r="73">
      <c r="A73" s="32"/>
      <c r="B73" s="37"/>
      <c r="C73" s="124" t="s">
        <v>214</v>
      </c>
      <c r="D73" s="10"/>
      <c r="E73" s="10"/>
      <c r="F73" s="17"/>
      <c r="G73" s="248"/>
      <c r="H73" s="260"/>
      <c r="I73" s="262" t="s">
        <v>24</v>
      </c>
      <c r="J73" s="248"/>
      <c r="K73" s="260" t="s">
        <v>24</v>
      </c>
      <c r="L73" s="262"/>
      <c r="M73" s="248"/>
      <c r="N73" s="260"/>
      <c r="O73" s="262"/>
    </row>
    <row r="74">
      <c r="A74" s="32"/>
      <c r="B74" s="115" t="s">
        <v>217</v>
      </c>
      <c r="C74" s="124" t="s">
        <v>218</v>
      </c>
      <c r="D74" s="10"/>
      <c r="E74" s="10"/>
      <c r="F74" s="17"/>
      <c r="G74" s="248"/>
      <c r="H74" s="260"/>
      <c r="I74" s="262" t="s">
        <v>24</v>
      </c>
      <c r="J74" s="248"/>
      <c r="K74" s="260" t="s">
        <v>24</v>
      </c>
      <c r="L74" s="262"/>
      <c r="M74" s="248"/>
      <c r="N74" s="260"/>
      <c r="O74" s="262"/>
    </row>
    <row r="75">
      <c r="A75" s="32"/>
      <c r="B75" s="32"/>
      <c r="C75" s="124" t="s">
        <v>220</v>
      </c>
      <c r="D75" s="10"/>
      <c r="E75" s="10"/>
      <c r="F75" s="17"/>
      <c r="G75" s="248"/>
      <c r="H75" s="258"/>
      <c r="I75" s="262" t="s">
        <v>24</v>
      </c>
      <c r="J75" s="248"/>
      <c r="K75" s="258" t="s">
        <v>24</v>
      </c>
      <c r="L75" s="262"/>
      <c r="M75" s="248"/>
      <c r="N75" s="258"/>
      <c r="O75" s="262"/>
    </row>
    <row r="76">
      <c r="A76" s="32"/>
      <c r="B76" s="32"/>
      <c r="C76" s="129" t="s">
        <v>474</v>
      </c>
      <c r="D76" s="10"/>
      <c r="E76" s="10"/>
      <c r="F76" s="213" t="s">
        <v>222</v>
      </c>
      <c r="G76" s="248"/>
      <c r="H76" s="260"/>
      <c r="I76" s="262" t="s">
        <v>24</v>
      </c>
      <c r="J76" s="248"/>
      <c r="K76" s="260" t="s">
        <v>24</v>
      </c>
      <c r="L76" s="262"/>
      <c r="M76" s="248"/>
      <c r="N76" s="260"/>
      <c r="O76" s="262"/>
    </row>
    <row r="77">
      <c r="A77" s="32"/>
      <c r="B77" s="37"/>
      <c r="C77" s="124" t="s">
        <v>223</v>
      </c>
      <c r="D77" s="10"/>
      <c r="E77" s="10"/>
      <c r="F77" s="213" t="s">
        <v>224</v>
      </c>
      <c r="G77" s="248"/>
      <c r="H77" s="260"/>
      <c r="I77" s="279" t="s">
        <v>414</v>
      </c>
      <c r="J77" s="248"/>
      <c r="K77" s="260" t="s">
        <v>24</v>
      </c>
      <c r="L77" s="262"/>
      <c r="M77" s="248"/>
      <c r="N77" s="260"/>
      <c r="O77" s="262"/>
    </row>
    <row r="78">
      <c r="A78" s="32"/>
      <c r="B78" s="102" t="s">
        <v>244</v>
      </c>
      <c r="C78" s="106" t="s">
        <v>245</v>
      </c>
      <c r="D78" s="10"/>
      <c r="E78" s="245" t="s">
        <v>248</v>
      </c>
      <c r="F78" s="237" t="s">
        <v>411</v>
      </c>
      <c r="G78" s="248"/>
      <c r="H78" s="260"/>
      <c r="I78" s="262" t="s">
        <v>24</v>
      </c>
      <c r="J78" s="248"/>
      <c r="K78" s="260" t="s">
        <v>24</v>
      </c>
      <c r="L78" s="262"/>
      <c r="M78" s="248"/>
      <c r="N78" s="260"/>
      <c r="O78" s="262"/>
    </row>
    <row r="79">
      <c r="A79" s="32"/>
      <c r="B79" s="32"/>
      <c r="C79" s="123" t="s">
        <v>247</v>
      </c>
      <c r="D79" s="10"/>
      <c r="E79" s="245" t="s">
        <v>248</v>
      </c>
      <c r="F79" s="213" t="s">
        <v>207</v>
      </c>
      <c r="G79" s="248"/>
      <c r="H79" s="260"/>
      <c r="I79" s="262" t="s">
        <v>24</v>
      </c>
      <c r="J79" s="248"/>
      <c r="K79" s="260" t="s">
        <v>24</v>
      </c>
      <c r="L79" s="262"/>
      <c r="M79" s="248"/>
      <c r="N79" s="260"/>
      <c r="O79" s="262"/>
    </row>
    <row r="80">
      <c r="A80" s="32"/>
      <c r="B80" s="32"/>
      <c r="C80" s="123" t="s">
        <v>249</v>
      </c>
      <c r="D80" s="10"/>
      <c r="E80" s="10"/>
      <c r="F80" s="213" t="s">
        <v>250</v>
      </c>
      <c r="G80" s="248"/>
      <c r="H80" s="260"/>
      <c r="I80" s="262" t="s">
        <v>24</v>
      </c>
      <c r="J80" s="248"/>
      <c r="K80" s="260" t="s">
        <v>24</v>
      </c>
      <c r="L80" s="262"/>
      <c r="M80" s="248"/>
      <c r="N80" s="260"/>
      <c r="O80" s="262"/>
    </row>
    <row r="81">
      <c r="A81" s="32"/>
      <c r="B81" s="32"/>
      <c r="C81" s="103" t="s">
        <v>251</v>
      </c>
      <c r="D81" s="10"/>
      <c r="E81" s="10"/>
      <c r="F81" s="213" t="s">
        <v>252</v>
      </c>
      <c r="G81" s="248"/>
      <c r="H81" s="244"/>
      <c r="I81" s="279" t="s">
        <v>414</v>
      </c>
      <c r="J81" s="248"/>
      <c r="K81" s="279" t="s">
        <v>414</v>
      </c>
      <c r="L81" s="244"/>
      <c r="M81" s="248"/>
      <c r="N81" s="258"/>
      <c r="O81" s="279" t="s">
        <v>414</v>
      </c>
    </row>
    <row r="82">
      <c r="A82" s="32"/>
      <c r="B82" s="32"/>
      <c r="C82" s="106" t="s">
        <v>253</v>
      </c>
      <c r="D82" s="10"/>
      <c r="E82" s="10"/>
      <c r="F82" s="213" t="s">
        <v>254</v>
      </c>
      <c r="G82" s="248"/>
      <c r="H82" s="260"/>
      <c r="I82" s="262" t="s">
        <v>24</v>
      </c>
      <c r="J82" s="248"/>
      <c r="K82" s="260" t="s">
        <v>24</v>
      </c>
      <c r="L82" s="262"/>
      <c r="M82" s="248"/>
      <c r="N82" s="260"/>
      <c r="O82" s="262"/>
    </row>
    <row r="83">
      <c r="A83" s="32"/>
      <c r="B83" s="32"/>
      <c r="C83" s="106" t="s">
        <v>255</v>
      </c>
      <c r="D83" s="10"/>
      <c r="E83" s="10"/>
      <c r="F83" s="213" t="s">
        <v>256</v>
      </c>
      <c r="G83" s="248"/>
      <c r="H83" s="260"/>
      <c r="I83" s="279" t="s">
        <v>413</v>
      </c>
      <c r="J83" s="248"/>
      <c r="K83" s="260"/>
      <c r="L83" s="262"/>
      <c r="M83" s="248"/>
      <c r="N83" s="260"/>
      <c r="O83" s="262" t="s">
        <v>24</v>
      </c>
    </row>
    <row r="84">
      <c r="A84" s="32"/>
      <c r="B84" s="32"/>
      <c r="C84" s="93" t="s">
        <v>257</v>
      </c>
      <c r="D84" s="10"/>
      <c r="E84" s="10"/>
      <c r="F84" s="17"/>
      <c r="G84" s="248"/>
      <c r="H84" s="260"/>
      <c r="I84" s="262" t="s">
        <v>24</v>
      </c>
      <c r="J84" s="248"/>
      <c r="K84" s="260" t="s">
        <v>24</v>
      </c>
      <c r="L84" s="262"/>
      <c r="M84" s="248"/>
      <c r="N84" s="260"/>
      <c r="O84" s="262"/>
    </row>
    <row r="85">
      <c r="A85" s="32"/>
      <c r="B85" s="32"/>
      <c r="C85" s="93" t="s">
        <v>258</v>
      </c>
      <c r="D85" s="10"/>
      <c r="E85" s="10"/>
      <c r="F85" s="213" t="s">
        <v>259</v>
      </c>
      <c r="G85" s="248"/>
      <c r="H85" s="260"/>
      <c r="I85" s="274" t="s">
        <v>24</v>
      </c>
      <c r="J85" s="248"/>
      <c r="K85" s="260" t="s">
        <v>24</v>
      </c>
      <c r="L85" s="274"/>
      <c r="M85" s="248"/>
      <c r="N85" s="260"/>
      <c r="O85" s="274"/>
    </row>
    <row r="86">
      <c r="A86" s="37"/>
      <c r="B86" s="37"/>
      <c r="C86" s="123" t="s">
        <v>441</v>
      </c>
      <c r="D86" s="10"/>
      <c r="E86" s="10"/>
      <c r="F86" s="17"/>
      <c r="G86" s="248"/>
      <c r="H86" s="260"/>
      <c r="I86" s="262" t="s">
        <v>24</v>
      </c>
      <c r="J86" s="248"/>
      <c r="K86" s="260" t="s">
        <v>24</v>
      </c>
      <c r="L86" s="262"/>
      <c r="M86" s="248"/>
      <c r="N86" s="260"/>
      <c r="O86" s="262"/>
    </row>
    <row r="87">
      <c r="A87" s="154"/>
      <c r="B87" s="154"/>
      <c r="C87" s="142" t="s">
        <v>421</v>
      </c>
      <c r="E87" s="245" t="s">
        <v>96</v>
      </c>
      <c r="F87" s="240"/>
      <c r="G87" s="248"/>
      <c r="H87" s="260"/>
      <c r="I87" s="262"/>
      <c r="J87" s="248"/>
      <c r="K87" s="260" t="s">
        <v>24</v>
      </c>
      <c r="L87" s="262"/>
      <c r="M87" s="248"/>
      <c r="N87" s="260"/>
      <c r="O87" s="262"/>
    </row>
    <row r="88">
      <c r="A88" s="154"/>
      <c r="B88" s="154"/>
      <c r="C88" s="142" t="s">
        <v>265</v>
      </c>
      <c r="D88" s="10"/>
      <c r="E88" s="245" t="s">
        <v>266</v>
      </c>
      <c r="F88" s="240"/>
      <c r="G88" s="248"/>
      <c r="H88" s="260"/>
      <c r="I88" s="262"/>
      <c r="J88" s="248"/>
      <c r="K88" s="260"/>
      <c r="L88" s="262"/>
      <c r="M88" s="248"/>
      <c r="N88" s="260"/>
      <c r="O88" s="262"/>
    </row>
    <row r="89">
      <c r="A89" s="154"/>
      <c r="B89" s="154">
        <v>89.0</v>
      </c>
      <c r="C89" s="154" t="s">
        <v>475</v>
      </c>
      <c r="D89" s="154"/>
      <c r="E89" s="154"/>
      <c r="F89" s="142" t="s">
        <v>276</v>
      </c>
      <c r="G89" s="200">
        <v>0.0</v>
      </c>
      <c r="H89" s="200">
        <v>0.0</v>
      </c>
      <c r="I89" s="200">
        <v>94.0</v>
      </c>
      <c r="J89" s="200">
        <v>0.0</v>
      </c>
      <c r="K89" s="200">
        <v>88.0</v>
      </c>
      <c r="L89" s="200">
        <v>0.0</v>
      </c>
      <c r="M89" s="200">
        <v>0.0</v>
      </c>
      <c r="N89" s="200">
        <v>0.0</v>
      </c>
      <c r="O89" s="200">
        <v>72.0</v>
      </c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>
      <c r="A94" s="79" t="s">
        <v>476</v>
      </c>
      <c r="B94" s="152"/>
      <c r="C94" s="152"/>
      <c r="D94" s="153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>
      <c r="A95" s="154"/>
      <c r="B95" s="155" t="s">
        <v>5</v>
      </c>
      <c r="C95" s="155" t="s">
        <v>277</v>
      </c>
      <c r="D95" s="155" t="s">
        <v>7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>
      <c r="A96" s="155" t="s">
        <v>278</v>
      </c>
      <c r="B96" s="154">
        <v>0.0</v>
      </c>
      <c r="C96" s="154">
        <v>0.0</v>
      </c>
      <c r="D96" s="154">
        <v>68.0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>
      <c r="A97" s="155" t="s">
        <v>279</v>
      </c>
      <c r="B97" s="154">
        <v>0.0</v>
      </c>
      <c r="C97" s="154">
        <v>0.0</v>
      </c>
      <c r="D97" s="154">
        <v>8.0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>
      <c r="A98" s="155" t="s">
        <v>280</v>
      </c>
      <c r="B98" s="154">
        <v>0.0</v>
      </c>
      <c r="C98" s="154">
        <v>0.0</v>
      </c>
      <c r="D98" s="154">
        <v>0.0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>
      <c r="A99" s="155" t="s">
        <v>281</v>
      </c>
      <c r="B99" s="154">
        <v>0.0</v>
      </c>
      <c r="C99" s="154">
        <v>0.0</v>
      </c>
      <c r="D99" s="154">
        <v>3.0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>
      <c r="A102" s="156" t="s">
        <v>282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>
      <c r="A103" s="157" t="s">
        <v>8</v>
      </c>
      <c r="B103" s="158"/>
      <c r="C103" s="158"/>
      <c r="D103" s="158"/>
      <c r="E103" s="157" t="s">
        <v>283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>
      <c r="A104" s="159" t="s">
        <v>284</v>
      </c>
      <c r="B104" s="158"/>
      <c r="C104" s="158"/>
      <c r="D104" s="158"/>
      <c r="E104" s="160" t="s">
        <v>24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>
      <c r="A105" s="161" t="s">
        <v>285</v>
      </c>
      <c r="B105" s="158"/>
      <c r="C105" s="158"/>
      <c r="D105" s="158"/>
      <c r="E105" s="162" t="s">
        <v>12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>
      <c r="A106" s="163" t="s">
        <v>286</v>
      </c>
      <c r="B106" s="158"/>
      <c r="C106" s="158"/>
      <c r="D106" s="158"/>
      <c r="E106" s="164" t="s">
        <v>287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>
      <c r="A107" s="165" t="s">
        <v>288</v>
      </c>
      <c r="B107" s="158"/>
      <c r="C107" s="158"/>
      <c r="D107" s="158"/>
      <c r="E107" s="166" t="s">
        <v>10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>
      <c r="A108" s="167" t="s">
        <v>289</v>
      </c>
      <c r="B108" s="158"/>
      <c r="C108" s="158"/>
      <c r="D108" s="158"/>
      <c r="E108" s="168" t="s">
        <v>290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>
      <c r="A109" s="169" t="s">
        <v>291</v>
      </c>
      <c r="B109" s="158"/>
      <c r="C109" s="158"/>
      <c r="D109" s="158"/>
      <c r="E109" s="170" t="s">
        <v>292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>
      <c r="A110" s="171" t="s">
        <v>293</v>
      </c>
      <c r="B110" s="158"/>
      <c r="C110" s="158"/>
      <c r="D110" s="158"/>
      <c r="E110" s="172" t="s">
        <v>294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>
      <c r="A111" s="173" t="s">
        <v>295</v>
      </c>
      <c r="B111" s="158"/>
      <c r="C111" s="158"/>
      <c r="D111" s="158"/>
      <c r="E111" s="174" t="s">
        <v>11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>
      <c r="A112" s="175" t="s">
        <v>296</v>
      </c>
      <c r="B112" s="158"/>
      <c r="C112" s="158"/>
      <c r="D112" s="158"/>
      <c r="E112" s="176" t="s">
        <v>12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>
      <c r="A113" s="177" t="s">
        <v>297</v>
      </c>
      <c r="B113" s="158"/>
      <c r="C113" s="158"/>
      <c r="D113" s="158"/>
      <c r="E113" s="158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>
      <c r="A114" s="178" t="s">
        <v>298</v>
      </c>
      <c r="B114" s="158"/>
      <c r="C114" s="158"/>
      <c r="D114" s="158"/>
      <c r="E114" s="158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>
      <c r="A115" s="179" t="s">
        <v>299</v>
      </c>
      <c r="B115" s="158"/>
      <c r="C115" s="158"/>
      <c r="D115" s="158"/>
      <c r="E115" s="158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>
      <c r="A116" s="180" t="s">
        <v>300</v>
      </c>
      <c r="B116" s="158"/>
      <c r="C116" s="158"/>
      <c r="D116" s="158"/>
      <c r="E116" s="158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>
      <c r="A117" s="181" t="s">
        <v>301</v>
      </c>
      <c r="B117" s="158"/>
      <c r="C117" s="158"/>
      <c r="D117" s="158"/>
      <c r="E117" s="158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</sheetData>
  <mergeCells count="16">
    <mergeCell ref="B19:B33"/>
    <mergeCell ref="B34:B46"/>
    <mergeCell ref="B47:B50"/>
    <mergeCell ref="B51:B68"/>
    <mergeCell ref="B69:B73"/>
    <mergeCell ref="B74:B77"/>
    <mergeCell ref="A94:D94"/>
    <mergeCell ref="A102:E102"/>
    <mergeCell ref="G1:I1"/>
    <mergeCell ref="J1:L1"/>
    <mergeCell ref="M1:O1"/>
    <mergeCell ref="A6:A18"/>
    <mergeCell ref="B6:B15"/>
    <mergeCell ref="B16:B18"/>
    <mergeCell ref="A19:A86"/>
    <mergeCell ref="B78:B86"/>
  </mergeCells>
  <conditionalFormatting sqref="B3:D3 G4:O4">
    <cfRule type="cellIs" dxfId="14" priority="1" stopIfTrue="1" operator="equal">
      <formula>"Anu"</formula>
    </cfRule>
  </conditionalFormatting>
  <conditionalFormatting sqref="B3:D3 G4:O4">
    <cfRule type="cellIs" dxfId="0" priority="2" stopIfTrue="1" operator="equal">
      <formula>"Amrita"</formula>
    </cfRule>
  </conditionalFormatting>
  <conditionalFormatting sqref="B3:D3 G4:O4">
    <cfRule type="cellIs" dxfId="1" priority="3" stopIfTrue="1" operator="equal">
      <formula>"Soumya"</formula>
    </cfRule>
  </conditionalFormatting>
  <conditionalFormatting sqref="B3:D3 G4:O4">
    <cfRule type="cellIs" dxfId="2" priority="4" stopIfTrue="1" operator="equal">
      <formula>"Hannah"</formula>
    </cfRule>
  </conditionalFormatting>
  <conditionalFormatting sqref="B3:D3 G4:O4">
    <cfRule type="cellIs" dxfId="4" priority="5" stopIfTrue="1" operator="equal">
      <formula>"Nitin"</formula>
    </cfRule>
  </conditionalFormatting>
  <conditionalFormatting sqref="B3:D3 G4:O4">
    <cfRule type="cellIs" dxfId="15" priority="6" stopIfTrue="1" operator="equal">
      <formula>"Pankhuri"</formula>
    </cfRule>
  </conditionalFormatting>
  <conditionalFormatting sqref="B3:D3 G4:O4">
    <cfRule type="cellIs" dxfId="5" priority="7" stopIfTrue="1" operator="equal">
      <formula>"Ramakrishna"</formula>
    </cfRule>
  </conditionalFormatting>
  <conditionalFormatting sqref="B3:D3 G4:O4">
    <cfRule type="cellIs" dxfId="6" priority="8" stopIfTrue="1" operator="equal">
      <formula>"Abdul"</formula>
    </cfRule>
  </conditionalFormatting>
  <conditionalFormatting sqref="B3:D3 G4:O4">
    <cfRule type="cellIs" dxfId="7" priority="9" stopIfTrue="1" operator="equal">
      <formula>"Saheli"</formula>
    </cfRule>
  </conditionalFormatting>
  <conditionalFormatting sqref="B3:D3 G4:O4">
    <cfRule type="cellIs" dxfId="8" priority="10" stopIfTrue="1" operator="equal">
      <formula>"Matt"</formula>
    </cfRule>
  </conditionalFormatting>
  <conditionalFormatting sqref="B3:D3 G4:O4">
    <cfRule type="cellIs" dxfId="9" priority="11" stopIfTrue="1" operator="equal">
      <formula>"Vishnu"</formula>
    </cfRule>
  </conditionalFormatting>
  <conditionalFormatting sqref="B3:D3 G4:O4">
    <cfRule type="cellIs" dxfId="10" priority="12" stopIfTrue="1" operator="equal">
      <formula>"Ivy"</formula>
    </cfRule>
  </conditionalFormatting>
  <conditionalFormatting sqref="B3:D3 G4:O4">
    <cfRule type="cellIs" dxfId="11" priority="13" stopIfTrue="1" operator="equal">
      <formula>"Rupal"</formula>
    </cfRule>
  </conditionalFormatting>
  <conditionalFormatting sqref="B3:D3 G4:O4">
    <cfRule type="cellIs" dxfId="25" priority="14" stopIfTrue="1" operator="equal">
      <formula>"Utkarsh"</formula>
    </cfRule>
  </conditionalFormatting>
  <conditionalFormatting sqref="G6:O88">
    <cfRule type="cellIs" dxfId="16" priority="15" stopIfTrue="1" operator="equal">
      <formula>"OK"</formula>
    </cfRule>
  </conditionalFormatting>
  <conditionalFormatting sqref="B3:D3 G4:O4 G6:O88">
    <cfRule type="cellIs" dxfId="18" priority="16" stopIfTrue="1" operator="equal">
      <formula>"Not Tested"</formula>
    </cfRule>
  </conditionalFormatting>
  <conditionalFormatting sqref="G6:O88">
    <cfRule type="cellIs" dxfId="19" priority="17" stopIfTrue="1" operator="equal">
      <formula>"N/A"</formula>
    </cfRule>
  </conditionalFormatting>
  <conditionalFormatting sqref="B2:D2 G3:O3">
    <cfRule type="containsText" dxfId="20" priority="18" stopIfTrue="1" operator="containsText" text="Incomplete">
      <formula>NOT(ISERROR(SEARCH(("Incomplete"),(B2))))</formula>
    </cfRule>
  </conditionalFormatting>
  <conditionalFormatting sqref="B2:D2 G3:O3">
    <cfRule type="containsText" dxfId="17" priority="19" stopIfTrue="1" operator="containsText" text="Broken">
      <formula>NOT(ISERROR(SEARCH(("Broken"),(B2))))</formula>
    </cfRule>
  </conditionalFormatting>
  <conditionalFormatting sqref="B2:D2 G3:O3">
    <cfRule type="containsText" dxfId="21" priority="20" stopIfTrue="1" operator="containsText" text="Some problems">
      <formula>NOT(ISERROR(SEARCH(("Some problems"),(B2))))</formula>
    </cfRule>
  </conditionalFormatting>
  <conditionalFormatting sqref="B2:D2 G3:O3">
    <cfRule type="containsText" dxfId="22" priority="21" stopIfTrue="1" operator="containsText" text="All OK">
      <formula>NOT(ISERROR(SEARCH(("All OK"),(B2))))</formula>
    </cfRule>
  </conditionalFormatting>
  <conditionalFormatting sqref="B2:D2 G3:O3">
    <cfRule type="containsText" dxfId="23" priority="22" stopIfTrue="1" operator="containsText" text="In Progress">
      <formula>NOT(ISERROR(SEARCH(("In Progress"),(B2))))</formula>
    </cfRule>
  </conditionalFormatting>
  <conditionalFormatting sqref="B2:D2 G3:O3">
    <cfRule type="containsText" dxfId="24" priority="23" stopIfTrue="1" operator="containsText" text="Not Tested">
      <formula>NOT(ISERROR(SEARCH(("Not Tested"),(B2))))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477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477</v>
      </c>
      <c r="H1" s="6"/>
      <c r="I1" s="7"/>
      <c r="J1" s="5" t="s">
        <v>478</v>
      </c>
      <c r="K1" s="6"/>
      <c r="L1" s="7"/>
      <c r="M1" s="5" t="s">
        <v>479</v>
      </c>
      <c r="N1" s="6"/>
      <c r="O1" s="7"/>
    </row>
    <row r="2">
      <c r="A2" s="8"/>
      <c r="B2" s="9" t="s">
        <v>10</v>
      </c>
      <c r="C2" s="9" t="s">
        <v>480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</row>
    <row r="3">
      <c r="A3" s="13" t="s">
        <v>8</v>
      </c>
      <c r="B3" s="9" t="s">
        <v>12</v>
      </c>
      <c r="C3" s="9" t="s">
        <v>297</v>
      </c>
      <c r="D3" s="9" t="s">
        <v>12</v>
      </c>
      <c r="E3" s="10"/>
      <c r="F3" s="14" t="s">
        <v>9</v>
      </c>
      <c r="G3" s="15" t="s">
        <v>10</v>
      </c>
      <c r="H3" s="15" t="s">
        <v>292</v>
      </c>
      <c r="I3" s="15" t="s">
        <v>10</v>
      </c>
      <c r="J3" s="15" t="s">
        <v>10</v>
      </c>
      <c r="K3" s="15" t="s">
        <v>10</v>
      </c>
      <c r="L3" s="15" t="s">
        <v>10</v>
      </c>
      <c r="M3" s="15" t="s">
        <v>10</v>
      </c>
      <c r="N3" s="15" t="s">
        <v>10</v>
      </c>
      <c r="O3" s="15" t="s">
        <v>292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297</v>
      </c>
      <c r="I4" s="15" t="s">
        <v>12</v>
      </c>
      <c r="J4" s="15" t="s">
        <v>12</v>
      </c>
      <c r="K4" s="15" t="s">
        <v>12</v>
      </c>
      <c r="L4" s="15" t="s">
        <v>285</v>
      </c>
      <c r="M4" s="15" t="s">
        <v>12</v>
      </c>
      <c r="N4" s="15" t="s">
        <v>12</v>
      </c>
      <c r="O4" s="15" t="s">
        <v>297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  <c r="M5" s="21"/>
      <c r="N5" s="21"/>
      <c r="O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48"/>
      <c r="H6" s="260" t="s">
        <v>24</v>
      </c>
      <c r="I6" s="262"/>
      <c r="J6" s="248"/>
      <c r="K6" s="260"/>
      <c r="L6" s="262" t="s">
        <v>24</v>
      </c>
      <c r="M6" s="248"/>
      <c r="N6" s="260"/>
      <c r="O6" s="262" t="s">
        <v>24</v>
      </c>
    </row>
    <row r="7">
      <c r="A7" s="32"/>
      <c r="B7" s="32"/>
      <c r="C7" s="91" t="s">
        <v>345</v>
      </c>
      <c r="D7" s="10"/>
      <c r="E7" s="247" t="s">
        <v>383</v>
      </c>
      <c r="F7" s="17"/>
      <c r="G7" s="248"/>
      <c r="H7" s="259" t="s">
        <v>24</v>
      </c>
      <c r="I7" s="296"/>
      <c r="J7" s="248"/>
      <c r="K7" s="259"/>
      <c r="L7" s="296" t="s">
        <v>24</v>
      </c>
      <c r="M7" s="248"/>
      <c r="N7" s="259"/>
      <c r="O7" s="296" t="s">
        <v>24</v>
      </c>
    </row>
    <row r="8">
      <c r="A8" s="32"/>
      <c r="B8" s="32"/>
      <c r="C8" s="91" t="s">
        <v>347</v>
      </c>
      <c r="D8" s="10"/>
      <c r="E8" s="249" t="s">
        <v>308</v>
      </c>
      <c r="F8" s="17"/>
      <c r="G8" s="248"/>
      <c r="H8" s="260" t="s">
        <v>24</v>
      </c>
      <c r="I8" s="274"/>
      <c r="J8" s="248"/>
      <c r="K8" s="260"/>
      <c r="L8" s="274" t="s">
        <v>24</v>
      </c>
      <c r="M8" s="248"/>
      <c r="N8" s="260"/>
      <c r="O8" s="274" t="s">
        <v>24</v>
      </c>
    </row>
    <row r="9">
      <c r="A9" s="32"/>
      <c r="B9" s="32"/>
      <c r="C9" s="87" t="s">
        <v>348</v>
      </c>
      <c r="D9" s="10"/>
      <c r="E9" s="245" t="s">
        <v>77</v>
      </c>
      <c r="F9" s="17"/>
      <c r="G9" s="248"/>
      <c r="H9" s="260" t="s">
        <v>24</v>
      </c>
      <c r="I9" s="262"/>
      <c r="J9" s="248"/>
      <c r="K9" s="260"/>
      <c r="L9" s="262"/>
      <c r="M9" s="248"/>
      <c r="N9" s="260"/>
      <c r="O9" s="262" t="s">
        <v>24</v>
      </c>
    </row>
    <row r="10">
      <c r="A10" s="32"/>
      <c r="B10" s="32"/>
      <c r="C10" s="77" t="s">
        <v>481</v>
      </c>
      <c r="D10" s="10"/>
      <c r="E10" s="245" t="s">
        <v>100</v>
      </c>
      <c r="F10" s="17"/>
      <c r="G10" s="248"/>
      <c r="H10" s="260" t="s">
        <v>24</v>
      </c>
      <c r="I10" s="297"/>
      <c r="J10" s="248"/>
      <c r="K10" s="260"/>
      <c r="L10" s="297"/>
      <c r="M10" s="248"/>
      <c r="N10" s="260"/>
      <c r="O10" s="297" t="s">
        <v>24</v>
      </c>
    </row>
    <row r="11">
      <c r="A11" s="32"/>
      <c r="B11" s="32"/>
      <c r="C11" s="87" t="s">
        <v>350</v>
      </c>
      <c r="D11" s="10"/>
      <c r="E11" s="10"/>
      <c r="F11" s="212" t="s">
        <v>351</v>
      </c>
      <c r="G11" s="248"/>
      <c r="H11" s="260" t="s">
        <v>24</v>
      </c>
      <c r="I11" s="262"/>
      <c r="J11" s="248"/>
      <c r="K11" s="260"/>
      <c r="L11" s="262"/>
      <c r="M11" s="248"/>
      <c r="N11" s="260"/>
      <c r="O11" s="262" t="s">
        <v>24</v>
      </c>
    </row>
    <row r="12">
      <c r="A12" s="32"/>
      <c r="B12" s="32"/>
      <c r="C12" s="77" t="s">
        <v>354</v>
      </c>
      <c r="D12" s="10"/>
      <c r="E12" s="10"/>
      <c r="F12" s="213" t="s">
        <v>83</v>
      </c>
      <c r="G12" s="248"/>
      <c r="H12" s="260" t="s">
        <v>24</v>
      </c>
      <c r="I12" s="262"/>
      <c r="J12" s="248"/>
      <c r="K12" s="260"/>
      <c r="L12" s="262"/>
      <c r="M12" s="248"/>
      <c r="N12" s="260"/>
      <c r="O12" s="262" t="s">
        <v>24</v>
      </c>
    </row>
    <row r="13">
      <c r="A13" s="32"/>
      <c r="B13" s="32"/>
      <c r="C13" s="214" t="s">
        <v>355</v>
      </c>
      <c r="D13" s="10"/>
      <c r="E13" s="245" t="s">
        <v>34</v>
      </c>
      <c r="F13" s="17"/>
      <c r="G13" s="248"/>
      <c r="H13" s="259" t="s">
        <v>24</v>
      </c>
      <c r="I13" s="298"/>
      <c r="J13" s="248"/>
      <c r="K13" s="259"/>
      <c r="L13" s="298"/>
      <c r="M13" s="248"/>
      <c r="N13" s="259"/>
      <c r="O13" s="298" t="s">
        <v>24</v>
      </c>
    </row>
    <row r="14">
      <c r="A14" s="32"/>
      <c r="B14" s="32"/>
      <c r="C14" s="77" t="s">
        <v>357</v>
      </c>
      <c r="D14" s="10"/>
      <c r="E14" s="245" t="s">
        <v>34</v>
      </c>
      <c r="F14" s="17"/>
      <c r="G14" s="248"/>
      <c r="H14" s="260" t="s">
        <v>24</v>
      </c>
      <c r="I14" s="262"/>
      <c r="J14" s="248"/>
      <c r="K14" s="260"/>
      <c r="L14" s="262"/>
      <c r="M14" s="248"/>
      <c r="N14" s="260"/>
      <c r="O14" s="262" t="s">
        <v>24</v>
      </c>
    </row>
    <row r="15">
      <c r="A15" s="32"/>
      <c r="B15" s="37"/>
      <c r="C15" s="77" t="s">
        <v>396</v>
      </c>
      <c r="D15" s="10"/>
      <c r="E15" s="245" t="s">
        <v>100</v>
      </c>
      <c r="F15" s="213" t="s">
        <v>103</v>
      </c>
      <c r="G15" s="248"/>
      <c r="H15" s="296" t="s">
        <v>24</v>
      </c>
      <c r="I15" s="251"/>
      <c r="J15" s="248"/>
      <c r="K15" s="296"/>
      <c r="L15" s="282" t="s">
        <v>482</v>
      </c>
      <c r="M15" s="248"/>
      <c r="N15" s="296"/>
      <c r="O15" s="282" t="s">
        <v>482</v>
      </c>
    </row>
    <row r="16">
      <c r="A16" s="32"/>
      <c r="B16" s="216" t="s">
        <v>362</v>
      </c>
      <c r="C16" s="204" t="s">
        <v>363</v>
      </c>
      <c r="D16" s="10"/>
      <c r="E16" s="10"/>
      <c r="F16" s="213" t="s">
        <v>364</v>
      </c>
      <c r="G16" s="258"/>
      <c r="H16" s="258" t="s">
        <v>24</v>
      </c>
      <c r="I16" s="244"/>
      <c r="J16" s="258"/>
      <c r="K16" s="258"/>
      <c r="L16" s="285" t="s">
        <v>483</v>
      </c>
      <c r="N16" s="258"/>
      <c r="O16" s="285" t="s">
        <v>483</v>
      </c>
    </row>
    <row r="17">
      <c r="A17" s="32"/>
      <c r="B17" s="37"/>
      <c r="C17" s="204" t="s">
        <v>365</v>
      </c>
      <c r="D17" s="10"/>
      <c r="E17" s="10"/>
      <c r="F17" s="212" t="s">
        <v>105</v>
      </c>
      <c r="G17" s="248"/>
      <c r="H17" s="260"/>
      <c r="I17" s="262"/>
      <c r="J17" s="248"/>
      <c r="K17" s="260"/>
      <c r="L17" s="262"/>
      <c r="M17" s="248"/>
      <c r="N17" s="260"/>
      <c r="O17" s="262" t="s">
        <v>24</v>
      </c>
    </row>
    <row r="18">
      <c r="A18" s="203" t="s">
        <v>108</v>
      </c>
      <c r="B18" s="102" t="s">
        <v>109</v>
      </c>
      <c r="C18" s="77" t="s">
        <v>110</v>
      </c>
      <c r="D18" s="10"/>
      <c r="E18" s="10"/>
      <c r="F18" s="17"/>
      <c r="G18" s="248"/>
      <c r="H18" s="260"/>
      <c r="I18" s="262"/>
      <c r="J18" s="248"/>
      <c r="K18" s="260"/>
      <c r="L18" s="262"/>
      <c r="M18" s="248"/>
      <c r="N18" s="260"/>
      <c r="O18" s="262" t="s">
        <v>24</v>
      </c>
    </row>
    <row r="19">
      <c r="A19" s="32"/>
      <c r="B19" s="32"/>
      <c r="C19" s="77" t="s">
        <v>112</v>
      </c>
      <c r="D19" s="10"/>
      <c r="E19" s="10"/>
      <c r="F19" s="17"/>
      <c r="G19" s="248"/>
      <c r="H19" s="262" t="s">
        <v>24</v>
      </c>
      <c r="I19" s="262"/>
      <c r="J19" s="248"/>
      <c r="K19" s="262"/>
      <c r="L19" s="262"/>
      <c r="M19" s="248"/>
      <c r="N19" s="262"/>
      <c r="O19" s="262" t="s">
        <v>24</v>
      </c>
    </row>
    <row r="20">
      <c r="A20" s="32"/>
      <c r="B20" s="32"/>
      <c r="C20" s="83" t="s">
        <v>114</v>
      </c>
      <c r="D20" s="10"/>
      <c r="E20" s="243" t="s">
        <v>115</v>
      </c>
      <c r="F20" s="17"/>
      <c r="G20" s="248"/>
      <c r="H20" s="260" t="s">
        <v>24</v>
      </c>
      <c r="I20" s="262"/>
      <c r="J20" s="248"/>
      <c r="K20" s="260"/>
      <c r="L20" s="262"/>
      <c r="M20" s="248"/>
      <c r="N20" s="260"/>
      <c r="O20" s="262" t="s">
        <v>24</v>
      </c>
    </row>
    <row r="21">
      <c r="A21" s="32"/>
      <c r="B21" s="32"/>
      <c r="C21" s="85" t="s">
        <v>116</v>
      </c>
      <c r="D21" s="10"/>
      <c r="E21" s="10"/>
      <c r="F21" s="213" t="s">
        <v>117</v>
      </c>
      <c r="G21" s="248"/>
      <c r="H21" s="260" t="s">
        <v>24</v>
      </c>
      <c r="I21" s="262"/>
      <c r="J21" s="248"/>
      <c r="K21" s="260"/>
      <c r="L21" s="262" t="s">
        <v>24</v>
      </c>
      <c r="M21" s="248"/>
      <c r="N21" s="260"/>
      <c r="O21" s="262" t="s">
        <v>24</v>
      </c>
    </row>
    <row r="22">
      <c r="A22" s="32"/>
      <c r="B22" s="32"/>
      <c r="C22" s="87" t="s">
        <v>118</v>
      </c>
      <c r="D22" s="10"/>
      <c r="E22" s="252" t="s">
        <v>386</v>
      </c>
      <c r="F22" s="213"/>
      <c r="G22" s="248"/>
      <c r="H22" s="260" t="s">
        <v>24</v>
      </c>
      <c r="I22" s="262"/>
      <c r="J22" s="248"/>
      <c r="K22" s="260"/>
      <c r="L22" s="262"/>
      <c r="M22" s="248"/>
      <c r="N22" s="260"/>
      <c r="O22" s="262" t="s">
        <v>24</v>
      </c>
    </row>
    <row r="23">
      <c r="A23" s="32"/>
      <c r="B23" s="32"/>
      <c r="C23" s="90" t="s">
        <v>120</v>
      </c>
      <c r="D23" s="10"/>
      <c r="E23" s="252" t="s">
        <v>121</v>
      </c>
      <c r="F23" s="213" t="s">
        <v>122</v>
      </c>
      <c r="G23" s="248"/>
      <c r="H23" s="260"/>
      <c r="I23" s="262"/>
      <c r="J23" s="248"/>
      <c r="K23" s="260"/>
      <c r="L23" s="262"/>
      <c r="M23" s="248"/>
      <c r="N23" s="260"/>
      <c r="O23" s="262" t="s">
        <v>24</v>
      </c>
    </row>
    <row r="24">
      <c r="A24" s="32"/>
      <c r="B24" s="32"/>
      <c r="C24" s="91" t="s">
        <v>123</v>
      </c>
      <c r="D24" s="10"/>
      <c r="E24" s="10"/>
      <c r="F24" s="213" t="s">
        <v>124</v>
      </c>
      <c r="G24" s="258"/>
      <c r="H24" s="289" t="s">
        <v>484</v>
      </c>
      <c r="I24" s="244"/>
      <c r="J24" s="258"/>
      <c r="K24" s="258"/>
      <c r="L24" s="244"/>
      <c r="M24" s="258"/>
      <c r="N24" s="258"/>
      <c r="O24" s="279" t="s">
        <v>485</v>
      </c>
    </row>
    <row r="25">
      <c r="A25" s="32"/>
      <c r="B25" s="32"/>
      <c r="C25" s="92" t="s">
        <v>125</v>
      </c>
      <c r="D25" s="10"/>
      <c r="E25" s="10"/>
      <c r="F25" s="213" t="s">
        <v>126</v>
      </c>
      <c r="G25" s="258"/>
      <c r="H25" s="279" t="s">
        <v>486</v>
      </c>
      <c r="I25" s="244"/>
      <c r="J25" s="258"/>
      <c r="K25" s="258"/>
      <c r="L25" s="244"/>
      <c r="M25" s="258"/>
      <c r="N25" s="258"/>
      <c r="O25" s="279" t="s">
        <v>486</v>
      </c>
    </row>
    <row r="26">
      <c r="A26" s="32"/>
      <c r="B26" s="32"/>
      <c r="C26" s="77" t="s">
        <v>127</v>
      </c>
      <c r="D26" s="10"/>
      <c r="E26" s="10"/>
      <c r="F26" s="213" t="s">
        <v>128</v>
      </c>
      <c r="G26" s="258"/>
      <c r="H26" s="258" t="s">
        <v>24</v>
      </c>
      <c r="I26" s="244"/>
      <c r="J26" s="258"/>
      <c r="K26" s="258"/>
      <c r="L26" s="244"/>
      <c r="M26" s="258"/>
      <c r="N26" s="258"/>
      <c r="O26" s="279" t="s">
        <v>485</v>
      </c>
    </row>
    <row r="27">
      <c r="A27" s="32"/>
      <c r="B27" s="32"/>
      <c r="C27" s="93" t="s">
        <v>129</v>
      </c>
      <c r="D27" s="10"/>
      <c r="E27" s="245" t="s">
        <v>313</v>
      </c>
      <c r="F27" s="17"/>
      <c r="G27" s="248"/>
      <c r="H27" s="289" t="s">
        <v>487</v>
      </c>
      <c r="I27" s="262"/>
      <c r="J27" s="248"/>
      <c r="K27" s="260"/>
      <c r="L27" s="262"/>
      <c r="M27" s="248"/>
      <c r="N27" s="260"/>
      <c r="O27" s="262" t="s">
        <v>24</v>
      </c>
    </row>
    <row r="28">
      <c r="A28" s="32"/>
      <c r="B28" s="32"/>
      <c r="C28" s="92" t="s">
        <v>368</v>
      </c>
      <c r="D28" s="10"/>
      <c r="E28" s="10"/>
      <c r="F28" s="17"/>
      <c r="G28" s="248"/>
      <c r="H28" s="260" t="s">
        <v>24</v>
      </c>
      <c r="I28" s="262"/>
      <c r="J28" s="248"/>
      <c r="K28" s="260"/>
      <c r="L28" s="262"/>
      <c r="M28" s="248"/>
      <c r="N28" s="260"/>
      <c r="O28" s="262" t="s">
        <v>24</v>
      </c>
    </row>
    <row r="29">
      <c r="A29" s="32"/>
      <c r="B29" s="32"/>
      <c r="C29" s="98" t="s">
        <v>134</v>
      </c>
      <c r="D29" s="10"/>
      <c r="E29" s="10"/>
      <c r="F29" s="221" t="s">
        <v>136</v>
      </c>
      <c r="G29" s="248"/>
      <c r="H29" s="260" t="s">
        <v>24</v>
      </c>
      <c r="I29" s="262"/>
      <c r="J29" s="248"/>
      <c r="K29" s="260"/>
      <c r="L29" s="262"/>
      <c r="M29" s="248"/>
      <c r="N29" s="260"/>
      <c r="O29" s="262" t="s">
        <v>24</v>
      </c>
    </row>
    <row r="30">
      <c r="A30" s="32"/>
      <c r="B30" s="32"/>
      <c r="C30" s="92" t="s">
        <v>137</v>
      </c>
      <c r="D30" s="10"/>
      <c r="E30" s="10"/>
      <c r="F30" s="17"/>
      <c r="G30" s="248"/>
      <c r="H30" s="259" t="s">
        <v>24</v>
      </c>
      <c r="I30" s="262"/>
      <c r="J30" s="248"/>
      <c r="K30" s="259"/>
      <c r="L30" s="262"/>
      <c r="M30" s="248"/>
      <c r="N30" s="259"/>
      <c r="O30" s="262" t="s">
        <v>24</v>
      </c>
    </row>
    <row r="31">
      <c r="A31" s="32"/>
      <c r="B31" s="32"/>
      <c r="C31" s="92" t="s">
        <v>138</v>
      </c>
      <c r="D31" s="10"/>
      <c r="E31" s="10"/>
      <c r="F31" s="17"/>
      <c r="G31" s="248"/>
      <c r="H31" s="260" t="s">
        <v>24</v>
      </c>
      <c r="I31" s="262"/>
      <c r="J31" s="248"/>
      <c r="K31" s="260"/>
      <c r="L31" s="262"/>
      <c r="M31" s="248"/>
      <c r="N31" s="260"/>
      <c r="O31" s="262" t="s">
        <v>24</v>
      </c>
    </row>
    <row r="32">
      <c r="A32" s="32"/>
      <c r="B32" s="37"/>
      <c r="C32" s="101" t="s">
        <v>139</v>
      </c>
      <c r="D32" s="10"/>
      <c r="E32" s="10"/>
      <c r="F32" s="17"/>
      <c r="G32" s="248"/>
      <c r="H32" s="260" t="s">
        <v>24</v>
      </c>
      <c r="I32" s="262"/>
      <c r="J32" s="248"/>
      <c r="K32" s="260"/>
      <c r="L32" s="262"/>
      <c r="M32" s="248"/>
      <c r="N32" s="260"/>
      <c r="O32" s="262" t="s">
        <v>24</v>
      </c>
    </row>
    <row r="33">
      <c r="A33" s="32"/>
      <c r="B33" s="102" t="s">
        <v>140</v>
      </c>
      <c r="C33" s="103" t="s">
        <v>141</v>
      </c>
      <c r="D33" s="245" t="s">
        <v>180</v>
      </c>
      <c r="E33" s="245" t="s">
        <v>453</v>
      </c>
      <c r="F33" s="17"/>
      <c r="G33" s="248"/>
      <c r="H33" s="260" t="s">
        <v>24</v>
      </c>
      <c r="I33" s="274"/>
      <c r="J33" s="248"/>
      <c r="K33" s="260"/>
      <c r="L33" s="274" t="s">
        <v>24</v>
      </c>
      <c r="M33" s="248"/>
      <c r="N33" s="260"/>
      <c r="O33" s="274"/>
    </row>
    <row r="34">
      <c r="A34" s="32"/>
      <c r="B34" s="32"/>
      <c r="C34" s="93" t="s">
        <v>146</v>
      </c>
      <c r="D34" s="10"/>
      <c r="E34" s="10"/>
      <c r="F34" s="213" t="s">
        <v>147</v>
      </c>
      <c r="G34" s="248"/>
      <c r="H34" s="260" t="s">
        <v>24</v>
      </c>
      <c r="I34" s="262"/>
      <c r="J34" s="248"/>
      <c r="K34" s="260"/>
      <c r="L34" s="262"/>
      <c r="M34" s="248"/>
      <c r="N34" s="260"/>
      <c r="O34" s="262"/>
    </row>
    <row r="35">
      <c r="A35" s="32"/>
      <c r="B35" s="32"/>
      <c r="C35" s="107" t="s">
        <v>148</v>
      </c>
      <c r="D35" s="10"/>
      <c r="E35" s="10"/>
      <c r="F35" s="213" t="s">
        <v>149</v>
      </c>
      <c r="G35" s="248"/>
      <c r="H35" s="260" t="s">
        <v>24</v>
      </c>
      <c r="I35" s="274"/>
      <c r="J35" s="248"/>
      <c r="K35" s="260"/>
      <c r="L35" s="274"/>
      <c r="M35" s="248"/>
      <c r="N35" s="260"/>
      <c r="O35" s="274"/>
    </row>
    <row r="36">
      <c r="A36" s="32"/>
      <c r="B36" s="32"/>
      <c r="C36" s="108" t="s">
        <v>150</v>
      </c>
      <c r="D36" s="10"/>
      <c r="E36" s="10"/>
      <c r="F36" s="213" t="s">
        <v>149</v>
      </c>
      <c r="G36" s="248"/>
      <c r="H36" s="260" t="s">
        <v>24</v>
      </c>
      <c r="I36" s="262"/>
      <c r="J36" s="248"/>
      <c r="K36" s="260"/>
      <c r="L36" s="262" t="s">
        <v>24</v>
      </c>
      <c r="M36" s="248"/>
      <c r="N36" s="260"/>
      <c r="O36" s="262"/>
    </row>
    <row r="37">
      <c r="A37" s="32"/>
      <c r="B37" s="32"/>
      <c r="C37" s="307" t="s">
        <v>488</v>
      </c>
      <c r="D37" s="10"/>
      <c r="E37" s="10"/>
      <c r="F37" s="17"/>
      <c r="G37" s="248"/>
      <c r="H37" s="259" t="s">
        <v>24</v>
      </c>
      <c r="I37" s="244"/>
      <c r="J37" s="248"/>
      <c r="K37" s="259"/>
      <c r="L37" s="244" t="s">
        <v>24</v>
      </c>
      <c r="M37" s="248"/>
      <c r="N37" s="259"/>
      <c r="O37" s="279" t="s">
        <v>489</v>
      </c>
    </row>
    <row r="38">
      <c r="A38" s="32"/>
      <c r="B38" s="32"/>
      <c r="C38" s="111" t="s">
        <v>155</v>
      </c>
      <c r="D38" s="10"/>
      <c r="E38" s="10"/>
      <c r="F38" s="221" t="s">
        <v>397</v>
      </c>
      <c r="G38" s="244"/>
      <c r="H38" s="251" t="s">
        <v>397</v>
      </c>
      <c r="I38" s="251"/>
      <c r="J38" s="244"/>
      <c r="K38" s="244"/>
      <c r="L38" s="251"/>
      <c r="M38" s="244"/>
      <c r="N38" s="244"/>
      <c r="O38" s="251" t="s">
        <v>397</v>
      </c>
    </row>
    <row r="39">
      <c r="A39" s="32"/>
      <c r="B39" s="32"/>
      <c r="C39" s="112" t="s">
        <v>157</v>
      </c>
      <c r="D39" s="10"/>
      <c r="E39" s="243" t="s">
        <v>158</v>
      </c>
      <c r="F39" s="17"/>
      <c r="G39" s="248"/>
      <c r="H39" s="260"/>
      <c r="I39" s="262"/>
      <c r="J39" s="248"/>
      <c r="K39" s="260"/>
      <c r="L39" s="262" t="s">
        <v>24</v>
      </c>
      <c r="M39" s="248"/>
      <c r="N39" s="260"/>
      <c r="O39" s="262" t="s">
        <v>24</v>
      </c>
    </row>
    <row r="40">
      <c r="A40" s="32"/>
      <c r="B40" s="32"/>
      <c r="C40" s="83" t="s">
        <v>159</v>
      </c>
      <c r="D40" s="10"/>
      <c r="E40" s="10"/>
      <c r="F40" s="17"/>
      <c r="G40" s="248"/>
      <c r="H40" s="260"/>
      <c r="I40" s="262"/>
      <c r="J40" s="248"/>
      <c r="K40" s="260"/>
      <c r="L40" s="262"/>
      <c r="M40" s="248"/>
      <c r="N40" s="260"/>
      <c r="O40" s="262"/>
    </row>
    <row r="41">
      <c r="A41" s="32"/>
      <c r="B41" s="32"/>
      <c r="C41" s="93" t="s">
        <v>161</v>
      </c>
      <c r="D41" s="10"/>
      <c r="E41" s="10"/>
      <c r="F41" s="17"/>
      <c r="G41" s="248"/>
      <c r="H41" s="260"/>
      <c r="I41" s="262"/>
      <c r="J41" s="248"/>
      <c r="K41" s="260"/>
      <c r="L41" s="262"/>
      <c r="M41" s="248"/>
      <c r="N41" s="260"/>
      <c r="O41" s="262" t="s">
        <v>24</v>
      </c>
    </row>
    <row r="42">
      <c r="A42" s="32"/>
      <c r="B42" s="32"/>
      <c r="C42" s="93" t="s">
        <v>162</v>
      </c>
      <c r="D42" s="10"/>
      <c r="E42" s="10"/>
      <c r="F42" s="223"/>
      <c r="G42" s="248"/>
      <c r="H42" s="260"/>
      <c r="I42" s="262"/>
      <c r="J42" s="248"/>
      <c r="K42" s="260"/>
      <c r="L42" s="262"/>
      <c r="M42" s="248"/>
      <c r="N42" s="260"/>
      <c r="O42" s="262"/>
    </row>
    <row r="43">
      <c r="A43" s="32"/>
      <c r="B43" s="32"/>
      <c r="C43" s="106" t="s">
        <v>164</v>
      </c>
      <c r="D43" s="10"/>
      <c r="E43" s="10"/>
      <c r="F43" s="224" t="s">
        <v>165</v>
      </c>
      <c r="G43" s="248"/>
      <c r="H43" s="260" t="s">
        <v>24</v>
      </c>
      <c r="I43" s="262"/>
      <c r="J43" s="248"/>
      <c r="K43" s="260"/>
      <c r="L43" s="262"/>
      <c r="M43" s="248"/>
      <c r="N43" s="260"/>
      <c r="O43" s="262"/>
    </row>
    <row r="44">
      <c r="A44" s="32"/>
      <c r="B44" s="32"/>
      <c r="C44" s="106" t="s">
        <v>166</v>
      </c>
      <c r="D44" s="10"/>
      <c r="E44" s="10"/>
      <c r="F44" s="213" t="s">
        <v>472</v>
      </c>
      <c r="G44" s="248"/>
      <c r="H44" s="260" t="s">
        <v>24</v>
      </c>
      <c r="I44" s="262"/>
      <c r="J44" s="248"/>
      <c r="K44" s="260"/>
      <c r="L44" s="262"/>
      <c r="M44" s="248"/>
      <c r="N44" s="260"/>
      <c r="O44" s="262" t="s">
        <v>24</v>
      </c>
    </row>
    <row r="45">
      <c r="A45" s="32"/>
      <c r="B45" s="37"/>
      <c r="C45" s="93" t="s">
        <v>168</v>
      </c>
      <c r="D45" s="10"/>
      <c r="E45" s="10"/>
      <c r="F45" s="17"/>
      <c r="G45" s="248"/>
      <c r="H45" s="260" t="s">
        <v>24</v>
      </c>
      <c r="I45" s="262"/>
      <c r="J45" s="248"/>
      <c r="K45" s="260"/>
      <c r="L45" s="262"/>
      <c r="M45" s="248"/>
      <c r="N45" s="260"/>
      <c r="O45" s="262"/>
    </row>
    <row r="46">
      <c r="A46" s="32"/>
      <c r="B46" s="115" t="s">
        <v>169</v>
      </c>
      <c r="C46" s="85" t="s">
        <v>141</v>
      </c>
      <c r="D46" s="10"/>
      <c r="E46" s="10"/>
      <c r="F46" s="213" t="s">
        <v>170</v>
      </c>
      <c r="G46" s="248"/>
      <c r="H46" s="260" t="s">
        <v>24</v>
      </c>
      <c r="I46" s="262"/>
      <c r="J46" s="248"/>
      <c r="K46" s="260"/>
      <c r="L46" s="262"/>
      <c r="M46" s="248"/>
      <c r="N46" s="260"/>
      <c r="O46" s="262"/>
    </row>
    <row r="47">
      <c r="A47" s="32"/>
      <c r="B47" s="32"/>
      <c r="C47" s="85" t="s">
        <v>171</v>
      </c>
      <c r="D47" s="10"/>
      <c r="E47" s="10"/>
      <c r="F47" s="17"/>
      <c r="G47" s="248"/>
      <c r="H47" s="260" t="s">
        <v>24</v>
      </c>
      <c r="I47" s="262"/>
      <c r="J47" s="248"/>
      <c r="K47" s="260"/>
      <c r="L47" s="262"/>
      <c r="M47" s="248"/>
      <c r="N47" s="260"/>
      <c r="O47" s="262"/>
    </row>
    <row r="48">
      <c r="A48" s="32"/>
      <c r="B48" s="32"/>
      <c r="C48" s="116" t="s">
        <v>315</v>
      </c>
      <c r="D48" s="10"/>
      <c r="E48" s="10"/>
      <c r="F48" s="225" t="s">
        <v>176</v>
      </c>
      <c r="G48" s="248"/>
      <c r="H48" s="260"/>
      <c r="I48" s="262"/>
      <c r="J48" s="248"/>
      <c r="K48" s="260"/>
      <c r="L48" s="262"/>
      <c r="M48" s="248"/>
      <c r="N48" s="260"/>
      <c r="O48" s="262"/>
    </row>
    <row r="49">
      <c r="A49" s="32"/>
      <c r="B49" s="37"/>
      <c r="C49" s="77" t="s">
        <v>177</v>
      </c>
      <c r="D49" s="10"/>
      <c r="E49" s="10"/>
      <c r="F49" s="17"/>
      <c r="G49" s="248"/>
      <c r="H49" s="260" t="s">
        <v>24</v>
      </c>
      <c r="I49" s="262"/>
      <c r="J49" s="248"/>
      <c r="K49" s="260"/>
      <c r="L49" s="262"/>
      <c r="M49" s="248"/>
      <c r="N49" s="260"/>
      <c r="O49" s="262"/>
    </row>
    <row r="50">
      <c r="A50" s="32"/>
      <c r="B50" s="102" t="s">
        <v>178</v>
      </c>
      <c r="C50" s="93" t="s">
        <v>179</v>
      </c>
      <c r="D50" s="10"/>
      <c r="E50" s="10"/>
      <c r="F50" s="17"/>
      <c r="G50" s="248"/>
      <c r="H50" s="260" t="s">
        <v>24</v>
      </c>
      <c r="I50" s="262"/>
      <c r="J50" s="248"/>
      <c r="K50" s="260"/>
      <c r="L50" s="262"/>
      <c r="M50" s="248"/>
      <c r="N50" s="260"/>
      <c r="O50" s="262" t="s">
        <v>24</v>
      </c>
    </row>
    <row r="51">
      <c r="A51" s="32"/>
      <c r="B51" s="32"/>
      <c r="C51" s="93" t="s">
        <v>141</v>
      </c>
      <c r="D51" s="10"/>
      <c r="E51" s="10"/>
      <c r="F51" s="17"/>
      <c r="G51" s="248"/>
      <c r="H51" s="285" t="s">
        <v>490</v>
      </c>
      <c r="I51" s="244"/>
      <c r="J51" s="248"/>
      <c r="K51" s="258"/>
      <c r="L51" s="244"/>
      <c r="M51" s="248"/>
      <c r="N51" s="258"/>
      <c r="O51" s="285" t="s">
        <v>490</v>
      </c>
    </row>
    <row r="52">
      <c r="A52" s="32"/>
      <c r="B52" s="32"/>
      <c r="C52" s="106" t="s">
        <v>181</v>
      </c>
      <c r="D52" s="10"/>
      <c r="E52" s="10"/>
      <c r="F52" s="213" t="s">
        <v>182</v>
      </c>
      <c r="G52" s="248"/>
      <c r="H52" s="260"/>
      <c r="I52" s="274"/>
      <c r="J52" s="248"/>
      <c r="K52" s="260"/>
      <c r="L52" s="274"/>
      <c r="M52" s="248"/>
      <c r="N52" s="260"/>
      <c r="O52" s="274" t="s">
        <v>24</v>
      </c>
    </row>
    <row r="53">
      <c r="A53" s="32"/>
      <c r="B53" s="32"/>
      <c r="C53" s="93" t="s">
        <v>183</v>
      </c>
      <c r="D53" s="10"/>
      <c r="E53" s="10"/>
      <c r="F53" s="17"/>
      <c r="G53" s="248"/>
      <c r="H53" s="260" t="s">
        <v>24</v>
      </c>
      <c r="I53" s="262"/>
      <c r="J53" s="248"/>
      <c r="K53" s="260"/>
      <c r="L53" s="262"/>
      <c r="M53" s="248"/>
      <c r="N53" s="260"/>
      <c r="O53" s="262" t="s">
        <v>24</v>
      </c>
    </row>
    <row r="54">
      <c r="A54" s="32"/>
      <c r="B54" s="32"/>
      <c r="C54" s="93" t="s">
        <v>184</v>
      </c>
      <c r="D54" s="10"/>
      <c r="E54" s="10"/>
      <c r="F54" s="17"/>
      <c r="G54" s="248"/>
      <c r="H54" s="260" t="s">
        <v>24</v>
      </c>
      <c r="I54" s="262"/>
      <c r="J54" s="248"/>
      <c r="K54" s="260"/>
      <c r="L54" s="262"/>
      <c r="M54" s="248"/>
      <c r="N54" s="260"/>
      <c r="O54" s="262" t="s">
        <v>24</v>
      </c>
    </row>
    <row r="55">
      <c r="A55" s="32"/>
      <c r="B55" s="32"/>
      <c r="C55" s="106" t="s">
        <v>185</v>
      </c>
      <c r="D55" s="10"/>
      <c r="E55" s="10"/>
      <c r="F55" s="213" t="s">
        <v>186</v>
      </c>
      <c r="G55" s="248"/>
      <c r="H55" s="279" t="s">
        <v>473</v>
      </c>
      <c r="I55" s="244"/>
      <c r="J55" s="248"/>
      <c r="K55" s="260"/>
      <c r="L55" s="244"/>
      <c r="M55" s="248"/>
      <c r="N55" s="260"/>
      <c r="O55" s="279" t="s">
        <v>473</v>
      </c>
    </row>
    <row r="56">
      <c r="A56" s="32"/>
      <c r="B56" s="32"/>
      <c r="C56" s="87" t="s">
        <v>187</v>
      </c>
      <c r="D56" s="10"/>
      <c r="E56" s="10"/>
      <c r="F56" s="17"/>
      <c r="G56" s="248"/>
      <c r="H56" s="260" t="s">
        <v>24</v>
      </c>
      <c r="I56" s="262"/>
      <c r="J56" s="248"/>
      <c r="K56" s="260"/>
      <c r="L56" s="262"/>
      <c r="M56" s="248"/>
      <c r="N56" s="260"/>
      <c r="O56" s="262" t="s">
        <v>24</v>
      </c>
    </row>
    <row r="57">
      <c r="A57" s="32"/>
      <c r="B57" s="32"/>
      <c r="C57" s="77" t="s">
        <v>190</v>
      </c>
      <c r="D57" s="10"/>
      <c r="E57" s="10"/>
      <c r="F57" s="17"/>
      <c r="G57" s="248"/>
      <c r="H57" s="308" t="s">
        <v>459</v>
      </c>
      <c r="I57" s="309"/>
      <c r="J57" s="248"/>
      <c r="K57" s="310"/>
      <c r="L57" s="309"/>
      <c r="M57" s="248"/>
      <c r="N57" s="310"/>
      <c r="O57" s="311" t="s">
        <v>491</v>
      </c>
    </row>
    <row r="58">
      <c r="A58" s="32"/>
      <c r="B58" s="32"/>
      <c r="C58" s="106" t="s">
        <v>425</v>
      </c>
      <c r="D58" s="10"/>
      <c r="E58" s="10"/>
      <c r="F58" s="213" t="s">
        <v>192</v>
      </c>
      <c r="G58" s="248"/>
      <c r="H58" s="260"/>
      <c r="I58" s="262"/>
      <c r="J58" s="248"/>
      <c r="K58" s="260"/>
      <c r="L58" s="262"/>
      <c r="M58" s="248"/>
      <c r="N58" s="260"/>
      <c r="O58" s="262" t="s">
        <v>24</v>
      </c>
    </row>
    <row r="59">
      <c r="A59" s="32"/>
      <c r="B59" s="32"/>
      <c r="C59" s="106" t="s">
        <v>193</v>
      </c>
      <c r="D59" s="10"/>
      <c r="E59" s="10"/>
      <c r="F59" s="17"/>
      <c r="G59" s="248"/>
      <c r="H59" s="260" t="s">
        <v>24</v>
      </c>
      <c r="I59" s="262"/>
      <c r="J59" s="248"/>
      <c r="K59" s="260"/>
      <c r="L59" s="262"/>
      <c r="M59" s="248"/>
      <c r="N59" s="260"/>
      <c r="O59" s="262" t="s">
        <v>24</v>
      </c>
    </row>
    <row r="60">
      <c r="A60" s="32"/>
      <c r="B60" s="32"/>
      <c r="C60" s="93" t="s">
        <v>194</v>
      </c>
      <c r="D60" s="10"/>
      <c r="E60" s="10"/>
      <c r="F60" s="17"/>
      <c r="G60" s="248"/>
      <c r="H60" s="260" t="s">
        <v>24</v>
      </c>
      <c r="I60" s="262"/>
      <c r="J60" s="248"/>
      <c r="K60" s="260"/>
      <c r="L60" s="262"/>
      <c r="M60" s="248"/>
      <c r="N60" s="260"/>
      <c r="O60" s="262" t="s">
        <v>24</v>
      </c>
    </row>
    <row r="61">
      <c r="A61" s="32"/>
      <c r="B61" s="32"/>
      <c r="C61" s="103" t="s">
        <v>195</v>
      </c>
      <c r="D61" s="10"/>
      <c r="E61" s="10"/>
      <c r="F61" s="213" t="s">
        <v>196</v>
      </c>
      <c r="G61" s="248"/>
      <c r="H61" s="260" t="s">
        <v>24</v>
      </c>
      <c r="I61" s="262"/>
      <c r="J61" s="248"/>
      <c r="K61" s="260"/>
      <c r="L61" s="262"/>
      <c r="M61" s="248"/>
      <c r="N61" s="260"/>
      <c r="O61" s="262" t="s">
        <v>24</v>
      </c>
    </row>
    <row r="62">
      <c r="A62" s="32"/>
      <c r="B62" s="32"/>
      <c r="C62" s="93" t="s">
        <v>197</v>
      </c>
      <c r="D62" s="10"/>
      <c r="E62" s="10"/>
      <c r="F62" s="213" t="s">
        <v>196</v>
      </c>
      <c r="G62" s="248"/>
      <c r="H62" s="260"/>
      <c r="I62" s="262"/>
      <c r="J62" s="248"/>
      <c r="K62" s="260"/>
      <c r="L62" s="262"/>
      <c r="M62" s="248"/>
      <c r="N62" s="260"/>
      <c r="O62" s="262" t="s">
        <v>24</v>
      </c>
    </row>
    <row r="63">
      <c r="A63" s="32"/>
      <c r="B63" s="32"/>
      <c r="C63" s="93" t="s">
        <v>198</v>
      </c>
      <c r="D63" s="10"/>
      <c r="E63" s="10"/>
      <c r="F63" s="213" t="s">
        <v>196</v>
      </c>
      <c r="G63" s="248"/>
      <c r="H63" s="260"/>
      <c r="I63" s="262"/>
      <c r="J63" s="248"/>
      <c r="K63" s="260"/>
      <c r="L63" s="262"/>
      <c r="M63" s="248"/>
      <c r="N63" s="260"/>
      <c r="O63" s="262" t="s">
        <v>24</v>
      </c>
    </row>
    <row r="64">
      <c r="A64" s="32"/>
      <c r="B64" s="32"/>
      <c r="C64" s="106" t="s">
        <v>201</v>
      </c>
      <c r="D64" s="10"/>
      <c r="E64" s="10"/>
      <c r="F64" s="213" t="s">
        <v>202</v>
      </c>
      <c r="G64" s="248"/>
      <c r="H64" s="260"/>
      <c r="I64" s="262"/>
      <c r="J64" s="248"/>
      <c r="K64" s="260"/>
      <c r="L64" s="262"/>
      <c r="M64" s="248"/>
      <c r="N64" s="260"/>
      <c r="O64" s="262" t="s">
        <v>24</v>
      </c>
    </row>
    <row r="65">
      <c r="A65" s="32"/>
      <c r="B65" s="32"/>
      <c r="C65" s="119" t="s">
        <v>203</v>
      </c>
      <c r="D65" s="10"/>
      <c r="E65" s="10"/>
      <c r="F65" s="213" t="s">
        <v>124</v>
      </c>
      <c r="G65" s="248"/>
      <c r="H65" s="292" t="s">
        <v>24</v>
      </c>
      <c r="I65" s="303"/>
      <c r="J65" s="248"/>
      <c r="K65" s="292"/>
      <c r="L65" s="303"/>
      <c r="M65" s="248"/>
      <c r="N65" s="292"/>
      <c r="O65" s="303" t="s">
        <v>24</v>
      </c>
    </row>
    <row r="66">
      <c r="A66" s="32"/>
      <c r="B66" s="32"/>
      <c r="C66" s="120" t="s">
        <v>316</v>
      </c>
      <c r="D66" s="10"/>
      <c r="E66" s="10"/>
      <c r="F66" s="213" t="s">
        <v>124</v>
      </c>
      <c r="G66" s="248"/>
      <c r="H66" s="259" t="s">
        <v>24</v>
      </c>
      <c r="I66" s="262"/>
      <c r="J66" s="248"/>
      <c r="K66" s="259"/>
      <c r="L66" s="262"/>
      <c r="M66" s="248"/>
      <c r="N66" s="259"/>
      <c r="O66" s="262" t="s">
        <v>24</v>
      </c>
    </row>
    <row r="67">
      <c r="A67" s="32"/>
      <c r="B67" s="32"/>
      <c r="C67" s="121" t="s">
        <v>205</v>
      </c>
      <c r="D67" s="245" t="s">
        <v>206</v>
      </c>
      <c r="E67" s="10"/>
      <c r="F67" s="213" t="s">
        <v>207</v>
      </c>
      <c r="G67" s="248"/>
      <c r="H67" s="260" t="s">
        <v>24</v>
      </c>
      <c r="I67" s="262"/>
      <c r="J67" s="248"/>
      <c r="K67" s="260"/>
      <c r="L67" s="262"/>
      <c r="M67" s="248"/>
      <c r="N67" s="260"/>
      <c r="O67" s="262" t="s">
        <v>24</v>
      </c>
    </row>
    <row r="68">
      <c r="A68" s="32"/>
      <c r="B68" s="37"/>
      <c r="C68" s="93" t="s">
        <v>492</v>
      </c>
      <c r="D68" s="10"/>
      <c r="E68" s="10"/>
      <c r="F68" s="213" t="s">
        <v>493</v>
      </c>
      <c r="G68" s="248"/>
      <c r="H68" s="262" t="s">
        <v>12</v>
      </c>
      <c r="I68" s="262"/>
      <c r="J68" s="248"/>
      <c r="K68" s="260"/>
      <c r="L68" s="262"/>
      <c r="M68" s="248"/>
      <c r="N68" s="260"/>
      <c r="O68" s="262" t="s">
        <v>12</v>
      </c>
    </row>
    <row r="69">
      <c r="A69" s="32"/>
      <c r="B69" s="102" t="s">
        <v>208</v>
      </c>
      <c r="C69" s="106" t="s">
        <v>209</v>
      </c>
      <c r="D69" s="10"/>
      <c r="E69" s="10"/>
      <c r="F69" s="17"/>
      <c r="G69" s="248"/>
      <c r="H69" s="260" t="s">
        <v>24</v>
      </c>
      <c r="I69" s="262"/>
      <c r="J69" s="248"/>
      <c r="K69" s="260"/>
      <c r="L69" s="262"/>
      <c r="M69" s="248"/>
      <c r="N69" s="260"/>
      <c r="O69" s="262" t="s">
        <v>24</v>
      </c>
    </row>
    <row r="70">
      <c r="A70" s="32"/>
      <c r="B70" s="32"/>
      <c r="C70" s="123" t="s">
        <v>210</v>
      </c>
      <c r="D70" s="10"/>
      <c r="E70" s="10"/>
      <c r="F70" s="213" t="s">
        <v>211</v>
      </c>
      <c r="G70" s="248"/>
      <c r="H70" s="260" t="s">
        <v>24</v>
      </c>
      <c r="I70" s="262"/>
      <c r="J70" s="248"/>
      <c r="K70" s="260"/>
      <c r="L70" s="262"/>
      <c r="M70" s="248"/>
      <c r="N70" s="260"/>
      <c r="O70" s="262" t="s">
        <v>24</v>
      </c>
    </row>
    <row r="71">
      <c r="A71" s="32"/>
      <c r="B71" s="32"/>
      <c r="C71" s="124" t="s">
        <v>212</v>
      </c>
      <c r="D71" s="10"/>
      <c r="E71" s="10"/>
      <c r="F71" s="17"/>
      <c r="G71" s="248"/>
      <c r="H71" s="260" t="s">
        <v>24</v>
      </c>
      <c r="I71" s="262"/>
      <c r="J71" s="248"/>
      <c r="K71" s="260"/>
      <c r="L71" s="262"/>
      <c r="M71" s="248"/>
      <c r="N71" s="260"/>
      <c r="O71" s="262" t="s">
        <v>24</v>
      </c>
    </row>
    <row r="72">
      <c r="A72" s="32"/>
      <c r="B72" s="32"/>
      <c r="C72" s="125" t="s">
        <v>213</v>
      </c>
      <c r="D72" s="10"/>
      <c r="E72" s="10"/>
      <c r="F72" s="17"/>
      <c r="G72" s="248"/>
      <c r="H72" s="260" t="s">
        <v>24</v>
      </c>
      <c r="I72" s="262"/>
      <c r="J72" s="248"/>
      <c r="K72" s="260"/>
      <c r="L72" s="262"/>
      <c r="M72" s="248"/>
      <c r="N72" s="260"/>
      <c r="O72" s="262" t="s">
        <v>24</v>
      </c>
    </row>
    <row r="73">
      <c r="A73" s="32"/>
      <c r="B73" s="37"/>
      <c r="C73" s="124" t="s">
        <v>214</v>
      </c>
      <c r="D73" s="10"/>
      <c r="E73" s="10"/>
      <c r="F73" s="17"/>
      <c r="G73" s="248"/>
      <c r="H73" s="260" t="s">
        <v>24</v>
      </c>
      <c r="I73" s="262"/>
      <c r="J73" s="248"/>
      <c r="K73" s="260"/>
      <c r="L73" s="262"/>
      <c r="M73" s="248"/>
      <c r="N73" s="260"/>
      <c r="O73" s="262" t="s">
        <v>24</v>
      </c>
    </row>
    <row r="74">
      <c r="A74" s="32"/>
      <c r="B74" s="115" t="s">
        <v>217</v>
      </c>
      <c r="C74" s="124" t="s">
        <v>218</v>
      </c>
      <c r="D74" s="10"/>
      <c r="E74" s="10"/>
      <c r="F74" s="17"/>
      <c r="G74" s="248"/>
      <c r="H74" s="260" t="s">
        <v>24</v>
      </c>
      <c r="I74" s="262"/>
      <c r="J74" s="248"/>
      <c r="K74" s="260"/>
      <c r="L74" s="262"/>
      <c r="M74" s="248"/>
      <c r="N74" s="260"/>
      <c r="O74" s="262"/>
    </row>
    <row r="75">
      <c r="A75" s="32"/>
      <c r="B75" s="32"/>
      <c r="C75" s="124" t="s">
        <v>220</v>
      </c>
      <c r="D75" s="10"/>
      <c r="E75" s="10"/>
      <c r="F75" s="17"/>
      <c r="G75" s="248"/>
      <c r="H75" s="258" t="s">
        <v>24</v>
      </c>
      <c r="I75" s="262"/>
      <c r="J75" s="248"/>
      <c r="K75" s="258"/>
      <c r="L75" s="262"/>
      <c r="M75" s="248"/>
      <c r="N75" s="258"/>
      <c r="O75" s="262"/>
    </row>
    <row r="76">
      <c r="A76" s="32"/>
      <c r="B76" s="32"/>
      <c r="C76" s="129" t="s">
        <v>474</v>
      </c>
      <c r="D76" s="10"/>
      <c r="E76" s="10"/>
      <c r="F76" s="213" t="s">
        <v>222</v>
      </c>
      <c r="G76" s="248"/>
      <c r="H76" s="260" t="s">
        <v>24</v>
      </c>
      <c r="I76" s="262"/>
      <c r="J76" s="248"/>
      <c r="K76" s="260"/>
      <c r="L76" s="262"/>
      <c r="M76" s="248"/>
      <c r="N76" s="260"/>
      <c r="O76" s="262"/>
    </row>
    <row r="77">
      <c r="A77" s="32"/>
      <c r="B77" s="37"/>
      <c r="C77" s="124" t="s">
        <v>223</v>
      </c>
      <c r="D77" s="10"/>
      <c r="E77" s="10"/>
      <c r="F77" s="213" t="s">
        <v>224</v>
      </c>
      <c r="G77" s="248"/>
      <c r="H77" s="260" t="s">
        <v>24</v>
      </c>
      <c r="I77" s="262"/>
      <c r="J77" s="248"/>
      <c r="K77" s="260"/>
      <c r="L77" s="262"/>
      <c r="M77" s="248"/>
      <c r="N77" s="260"/>
      <c r="O77" s="262"/>
    </row>
    <row r="78">
      <c r="A78" s="32"/>
      <c r="B78" s="102" t="s">
        <v>244</v>
      </c>
      <c r="C78" s="106" t="s">
        <v>245</v>
      </c>
      <c r="D78" s="10"/>
      <c r="E78" s="245" t="s">
        <v>248</v>
      </c>
      <c r="F78" s="237" t="s">
        <v>411</v>
      </c>
      <c r="G78" s="248"/>
      <c r="H78" s="260" t="s">
        <v>24</v>
      </c>
      <c r="I78" s="262"/>
      <c r="J78" s="248"/>
      <c r="K78" s="260"/>
      <c r="L78" s="262"/>
      <c r="M78" s="248"/>
      <c r="N78" s="260"/>
      <c r="O78" s="262"/>
    </row>
    <row r="79">
      <c r="A79" s="32"/>
      <c r="B79" s="32"/>
      <c r="C79" s="123" t="s">
        <v>247</v>
      </c>
      <c r="D79" s="10"/>
      <c r="E79" s="245" t="s">
        <v>248</v>
      </c>
      <c r="F79" s="213" t="s">
        <v>207</v>
      </c>
      <c r="G79" s="248"/>
      <c r="H79" s="260" t="s">
        <v>24</v>
      </c>
      <c r="I79" s="262"/>
      <c r="J79" s="248"/>
      <c r="K79" s="260"/>
      <c r="L79" s="262"/>
      <c r="M79" s="248"/>
      <c r="N79" s="260"/>
      <c r="O79" s="262"/>
    </row>
    <row r="80">
      <c r="A80" s="32"/>
      <c r="B80" s="32"/>
      <c r="C80" s="123" t="s">
        <v>249</v>
      </c>
      <c r="D80" s="10"/>
      <c r="E80" s="10"/>
      <c r="F80" s="213" t="s">
        <v>250</v>
      </c>
      <c r="G80" s="248"/>
      <c r="H80" s="260" t="s">
        <v>24</v>
      </c>
      <c r="I80" s="262"/>
      <c r="J80" s="248"/>
      <c r="K80" s="260"/>
      <c r="L80" s="262"/>
      <c r="M80" s="248"/>
      <c r="N80" s="260"/>
      <c r="O80" s="262"/>
    </row>
    <row r="81">
      <c r="A81" s="32"/>
      <c r="B81" s="32"/>
      <c r="C81" s="103" t="s">
        <v>251</v>
      </c>
      <c r="D81" s="10"/>
      <c r="E81" s="10"/>
      <c r="F81" s="213" t="s">
        <v>252</v>
      </c>
      <c r="G81" s="248"/>
      <c r="H81" s="289" t="s">
        <v>414</v>
      </c>
      <c r="I81" s="274"/>
      <c r="J81" s="248"/>
      <c r="K81" s="260"/>
      <c r="L81" s="274"/>
      <c r="M81" s="248"/>
      <c r="N81" s="260"/>
      <c r="O81" s="274"/>
    </row>
    <row r="82">
      <c r="A82" s="32"/>
      <c r="B82" s="32"/>
      <c r="C82" s="106" t="s">
        <v>253</v>
      </c>
      <c r="D82" s="10"/>
      <c r="E82" s="10"/>
      <c r="F82" s="213" t="s">
        <v>254</v>
      </c>
      <c r="G82" s="248"/>
      <c r="H82" s="260" t="s">
        <v>24</v>
      </c>
      <c r="I82" s="262"/>
      <c r="J82" s="248"/>
      <c r="K82" s="260"/>
      <c r="L82" s="262"/>
      <c r="M82" s="248"/>
      <c r="N82" s="260"/>
      <c r="O82" s="262"/>
    </row>
    <row r="83">
      <c r="A83" s="32"/>
      <c r="B83" s="32"/>
      <c r="C83" s="106" t="s">
        <v>255</v>
      </c>
      <c r="D83" s="10"/>
      <c r="E83" s="10"/>
      <c r="F83" s="213" t="s">
        <v>256</v>
      </c>
      <c r="G83" s="248"/>
      <c r="H83" s="260"/>
      <c r="I83" s="262"/>
      <c r="J83" s="248"/>
      <c r="K83" s="260"/>
      <c r="L83" s="262"/>
      <c r="M83" s="248"/>
      <c r="N83" s="260"/>
      <c r="O83" s="262"/>
    </row>
    <row r="84">
      <c r="A84" s="32"/>
      <c r="B84" s="32"/>
      <c r="C84" s="93" t="s">
        <v>257</v>
      </c>
      <c r="D84" s="10"/>
      <c r="E84" s="10"/>
      <c r="F84" s="17"/>
      <c r="G84" s="248"/>
      <c r="H84" s="260" t="s">
        <v>24</v>
      </c>
      <c r="I84" s="262"/>
      <c r="J84" s="248"/>
      <c r="K84" s="260"/>
      <c r="L84" s="262"/>
      <c r="M84" s="248"/>
      <c r="N84" s="260"/>
      <c r="O84" s="262"/>
    </row>
    <row r="85">
      <c r="A85" s="32"/>
      <c r="B85" s="32"/>
      <c r="C85" s="93" t="s">
        <v>258</v>
      </c>
      <c r="D85" s="10"/>
      <c r="E85" s="10"/>
      <c r="F85" s="213" t="s">
        <v>259</v>
      </c>
      <c r="G85" s="248"/>
      <c r="H85" s="260" t="s">
        <v>24</v>
      </c>
      <c r="I85" s="274"/>
      <c r="J85" s="248"/>
      <c r="K85" s="260"/>
      <c r="L85" s="274"/>
      <c r="M85" s="248"/>
      <c r="N85" s="260"/>
      <c r="O85" s="274"/>
    </row>
    <row r="86">
      <c r="A86" s="37"/>
      <c r="B86" s="37"/>
      <c r="C86" s="123" t="s">
        <v>441</v>
      </c>
      <c r="D86" s="10"/>
      <c r="E86" s="10"/>
      <c r="F86" s="17"/>
      <c r="G86" s="248"/>
      <c r="H86" s="260" t="s">
        <v>24</v>
      </c>
      <c r="I86" s="262"/>
      <c r="J86" s="248"/>
      <c r="K86" s="260"/>
      <c r="L86" s="262"/>
      <c r="M86" s="248"/>
      <c r="N86" s="260"/>
      <c r="O86" s="262"/>
    </row>
    <row r="87">
      <c r="A87" s="154"/>
      <c r="B87" s="154"/>
      <c r="C87" s="142" t="s">
        <v>421</v>
      </c>
      <c r="E87" s="245" t="s">
        <v>96</v>
      </c>
      <c r="F87" s="240"/>
      <c r="G87" s="248"/>
      <c r="H87" s="260"/>
      <c r="I87" s="262"/>
      <c r="J87" s="248"/>
      <c r="K87" s="260"/>
      <c r="L87" s="262"/>
      <c r="M87" s="248"/>
      <c r="N87" s="260"/>
      <c r="O87" s="262"/>
    </row>
    <row r="88">
      <c r="A88" s="154"/>
      <c r="B88" s="154"/>
      <c r="C88" s="142" t="s">
        <v>265</v>
      </c>
      <c r="D88" s="10"/>
      <c r="E88" s="245" t="s">
        <v>266</v>
      </c>
      <c r="F88" s="240"/>
      <c r="G88" s="248"/>
      <c r="H88" s="260"/>
      <c r="I88" s="262"/>
      <c r="J88" s="248"/>
      <c r="K88" s="260"/>
      <c r="L88" s="262"/>
      <c r="M88" s="248"/>
      <c r="N88" s="260"/>
      <c r="O88" s="262"/>
    </row>
    <row r="89">
      <c r="A89" s="154"/>
      <c r="B89" s="154">
        <v>89.0</v>
      </c>
      <c r="C89" s="154" t="s">
        <v>475</v>
      </c>
      <c r="D89" s="154"/>
      <c r="E89" s="154"/>
      <c r="F89" s="142" t="s">
        <v>276</v>
      </c>
      <c r="G89" s="200">
        <v>0.0</v>
      </c>
      <c r="H89" s="200">
        <v>81.0</v>
      </c>
      <c r="I89" s="200">
        <v>0.0</v>
      </c>
      <c r="J89" s="200">
        <v>0.0</v>
      </c>
      <c r="K89" s="200">
        <v>0.0</v>
      </c>
      <c r="L89" s="200">
        <v>12.0</v>
      </c>
      <c r="M89" s="200">
        <v>0.0</v>
      </c>
      <c r="N89" s="200">
        <v>0.0</v>
      </c>
      <c r="O89" s="200">
        <v>67.0</v>
      </c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>
      <c r="A94" s="79" t="s">
        <v>494</v>
      </c>
      <c r="B94" s="152"/>
      <c r="C94" s="152"/>
      <c r="D94" s="153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>
      <c r="A95" s="154"/>
      <c r="B95" s="155" t="s">
        <v>5</v>
      </c>
      <c r="C95" s="155" t="s">
        <v>277</v>
      </c>
      <c r="D95" s="155" t="s">
        <v>7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>
      <c r="A96" s="155" t="s">
        <v>278</v>
      </c>
      <c r="B96" s="154">
        <v>0.0</v>
      </c>
      <c r="C96" s="154">
        <v>57.0</v>
      </c>
      <c r="D96" s="154">
        <v>0.0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>
      <c r="A97" s="155" t="s">
        <v>279</v>
      </c>
      <c r="B97" s="154">
        <v>0.0</v>
      </c>
      <c r="C97" s="154">
        <v>7.0</v>
      </c>
      <c r="D97" s="154">
        <v>0.0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>
      <c r="A98" s="155" t="s">
        <v>280</v>
      </c>
      <c r="B98" s="154">
        <v>0.0</v>
      </c>
      <c r="C98" s="154">
        <v>1.0</v>
      </c>
      <c r="D98" s="154">
        <v>0.0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>
      <c r="A99" s="155" t="s">
        <v>281</v>
      </c>
      <c r="B99" s="154">
        <v>0.0</v>
      </c>
      <c r="C99" s="154">
        <v>14.0</v>
      </c>
      <c r="D99" s="154">
        <v>0.0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>
      <c r="A102" s="156" t="s">
        <v>282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>
      <c r="A103" s="157" t="s">
        <v>8</v>
      </c>
      <c r="B103" s="158"/>
      <c r="C103" s="158"/>
      <c r="D103" s="158"/>
      <c r="E103" s="157" t="s">
        <v>283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>
      <c r="A104" s="159" t="s">
        <v>284</v>
      </c>
      <c r="B104" s="158"/>
      <c r="C104" s="158"/>
      <c r="D104" s="158"/>
      <c r="E104" s="160" t="s">
        <v>24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>
      <c r="A105" s="161" t="s">
        <v>285</v>
      </c>
      <c r="B105" s="158"/>
      <c r="C105" s="158"/>
      <c r="D105" s="158"/>
      <c r="E105" s="162" t="s">
        <v>12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>
      <c r="A106" s="163" t="s">
        <v>286</v>
      </c>
      <c r="B106" s="158"/>
      <c r="C106" s="158"/>
      <c r="D106" s="158"/>
      <c r="E106" s="164" t="s">
        <v>287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>
      <c r="A107" s="165" t="s">
        <v>288</v>
      </c>
      <c r="B107" s="158"/>
      <c r="C107" s="158"/>
      <c r="D107" s="158"/>
      <c r="E107" s="166" t="s">
        <v>10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>
      <c r="A108" s="167" t="s">
        <v>289</v>
      </c>
      <c r="B108" s="158"/>
      <c r="C108" s="158"/>
      <c r="D108" s="158"/>
      <c r="E108" s="168" t="s">
        <v>290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>
      <c r="A109" s="169" t="s">
        <v>291</v>
      </c>
      <c r="B109" s="158"/>
      <c r="C109" s="158"/>
      <c r="D109" s="158"/>
      <c r="E109" s="170" t="s">
        <v>292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>
      <c r="A110" s="171" t="s">
        <v>293</v>
      </c>
      <c r="B110" s="158"/>
      <c r="C110" s="158"/>
      <c r="D110" s="158"/>
      <c r="E110" s="172" t="s">
        <v>294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>
      <c r="A111" s="173" t="s">
        <v>295</v>
      </c>
      <c r="B111" s="158"/>
      <c r="C111" s="158"/>
      <c r="D111" s="158"/>
      <c r="E111" s="174" t="s">
        <v>11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>
      <c r="A112" s="175" t="s">
        <v>296</v>
      </c>
      <c r="B112" s="158"/>
      <c r="C112" s="158"/>
      <c r="D112" s="158"/>
      <c r="E112" s="176" t="s">
        <v>12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>
      <c r="A113" s="177" t="s">
        <v>297</v>
      </c>
      <c r="B113" s="158"/>
      <c r="C113" s="158"/>
      <c r="D113" s="158"/>
      <c r="E113" s="158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>
      <c r="A114" s="178" t="s">
        <v>298</v>
      </c>
      <c r="B114" s="158"/>
      <c r="C114" s="158"/>
      <c r="D114" s="158"/>
      <c r="E114" s="158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>
      <c r="A115" s="179" t="s">
        <v>299</v>
      </c>
      <c r="B115" s="158"/>
      <c r="C115" s="158"/>
      <c r="D115" s="158"/>
      <c r="E115" s="158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>
      <c r="A116" s="180" t="s">
        <v>300</v>
      </c>
      <c r="B116" s="158"/>
      <c r="C116" s="158"/>
      <c r="D116" s="158"/>
      <c r="E116" s="158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>
      <c r="A117" s="181" t="s">
        <v>301</v>
      </c>
      <c r="B117" s="158"/>
      <c r="C117" s="158"/>
      <c r="D117" s="158"/>
      <c r="E117" s="158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</sheetData>
  <mergeCells count="16">
    <mergeCell ref="B18:B32"/>
    <mergeCell ref="B33:B45"/>
    <mergeCell ref="B46:B49"/>
    <mergeCell ref="B50:B68"/>
    <mergeCell ref="B69:B73"/>
    <mergeCell ref="B74:B77"/>
    <mergeCell ref="A94:D94"/>
    <mergeCell ref="A102:E102"/>
    <mergeCell ref="G1:I1"/>
    <mergeCell ref="J1:L1"/>
    <mergeCell ref="M1:O1"/>
    <mergeCell ref="A6:A17"/>
    <mergeCell ref="B6:B15"/>
    <mergeCell ref="B16:B17"/>
    <mergeCell ref="A18:A86"/>
    <mergeCell ref="B78:B86"/>
  </mergeCells>
  <conditionalFormatting sqref="B3:D3 G4:O4">
    <cfRule type="cellIs" dxfId="14" priority="1" stopIfTrue="1" operator="equal">
      <formula>"Anu"</formula>
    </cfRule>
  </conditionalFormatting>
  <conditionalFormatting sqref="B3:D3 G4:O4">
    <cfRule type="cellIs" dxfId="0" priority="2" stopIfTrue="1" operator="equal">
      <formula>"Amrita"</formula>
    </cfRule>
  </conditionalFormatting>
  <conditionalFormatting sqref="B3:D3 G4:O4">
    <cfRule type="cellIs" dxfId="1" priority="3" stopIfTrue="1" operator="equal">
      <formula>"Soumya"</formula>
    </cfRule>
  </conditionalFormatting>
  <conditionalFormatting sqref="B3:D3 G4:O4">
    <cfRule type="cellIs" dxfId="2" priority="4" stopIfTrue="1" operator="equal">
      <formula>"Hannah"</formula>
    </cfRule>
  </conditionalFormatting>
  <conditionalFormatting sqref="B3:D3 G4:O4">
    <cfRule type="cellIs" dxfId="4" priority="5" stopIfTrue="1" operator="equal">
      <formula>"Nitin"</formula>
    </cfRule>
  </conditionalFormatting>
  <conditionalFormatting sqref="B3:D3 G4:O4">
    <cfRule type="cellIs" dxfId="15" priority="6" stopIfTrue="1" operator="equal">
      <formula>"Pankhuri"</formula>
    </cfRule>
  </conditionalFormatting>
  <conditionalFormatting sqref="B3:D3 G4:O4">
    <cfRule type="cellIs" dxfId="5" priority="7" stopIfTrue="1" operator="equal">
      <formula>"Ramakrishna"</formula>
    </cfRule>
  </conditionalFormatting>
  <conditionalFormatting sqref="B3:D3 G4:O4">
    <cfRule type="cellIs" dxfId="6" priority="8" stopIfTrue="1" operator="equal">
      <formula>"Abdul"</formula>
    </cfRule>
  </conditionalFormatting>
  <conditionalFormatting sqref="B3:D3 G4:O4">
    <cfRule type="cellIs" dxfId="7" priority="9" stopIfTrue="1" operator="equal">
      <formula>"Saheli"</formula>
    </cfRule>
  </conditionalFormatting>
  <conditionalFormatting sqref="B3:D3 G4:O4">
    <cfRule type="cellIs" dxfId="8" priority="10" stopIfTrue="1" operator="equal">
      <formula>"Matt"</formula>
    </cfRule>
  </conditionalFormatting>
  <conditionalFormatting sqref="B3:D3 G4:O4">
    <cfRule type="cellIs" dxfId="9" priority="11" stopIfTrue="1" operator="equal">
      <formula>"Vishnu"</formula>
    </cfRule>
  </conditionalFormatting>
  <conditionalFormatting sqref="B3:D3 G4:O4">
    <cfRule type="cellIs" dxfId="10" priority="12" stopIfTrue="1" operator="equal">
      <formula>"Ivy"</formula>
    </cfRule>
  </conditionalFormatting>
  <conditionalFormatting sqref="B3:D3 G4:O4">
    <cfRule type="cellIs" dxfId="11" priority="13" stopIfTrue="1" operator="equal">
      <formula>"Rupal"</formula>
    </cfRule>
  </conditionalFormatting>
  <conditionalFormatting sqref="B3:D3 G4:O4">
    <cfRule type="cellIs" dxfId="25" priority="14" stopIfTrue="1" operator="equal">
      <formula>"Utkarsh"</formula>
    </cfRule>
  </conditionalFormatting>
  <conditionalFormatting sqref="G6:O88">
    <cfRule type="cellIs" dxfId="16" priority="15" stopIfTrue="1" operator="equal">
      <formula>"OK"</formula>
    </cfRule>
  </conditionalFormatting>
  <conditionalFormatting sqref="B3:D3 G4:O4 G6:O88">
    <cfRule type="cellIs" dxfId="18" priority="16" stopIfTrue="1" operator="equal">
      <formula>"Not Tested"</formula>
    </cfRule>
  </conditionalFormatting>
  <conditionalFormatting sqref="G6:O88">
    <cfRule type="cellIs" dxfId="19" priority="17" stopIfTrue="1" operator="equal">
      <formula>"N/A"</formula>
    </cfRule>
  </conditionalFormatting>
  <conditionalFormatting sqref="B2:D2 G3:O3">
    <cfRule type="containsText" dxfId="20" priority="18" stopIfTrue="1" operator="containsText" text="Incomplete">
      <formula>NOT(ISERROR(SEARCH(("Incomplete"),(B2))))</formula>
    </cfRule>
  </conditionalFormatting>
  <conditionalFormatting sqref="B2:D2 G3:O3">
    <cfRule type="containsText" dxfId="17" priority="19" stopIfTrue="1" operator="containsText" text="Broken">
      <formula>NOT(ISERROR(SEARCH(("Broken"),(B2))))</formula>
    </cfRule>
  </conditionalFormatting>
  <conditionalFormatting sqref="B2:D2 G3:O3">
    <cfRule type="containsText" dxfId="21" priority="20" stopIfTrue="1" operator="containsText" text="Some problems">
      <formula>NOT(ISERROR(SEARCH(("Some problems"),(B2))))</formula>
    </cfRule>
  </conditionalFormatting>
  <conditionalFormatting sqref="B2:D2 G3:O3">
    <cfRule type="containsText" dxfId="22" priority="21" stopIfTrue="1" operator="containsText" text="All OK">
      <formula>NOT(ISERROR(SEARCH(("All OK"),(B2))))</formula>
    </cfRule>
  </conditionalFormatting>
  <conditionalFormatting sqref="B2:D2 G3:O3">
    <cfRule type="containsText" dxfId="23" priority="22" stopIfTrue="1" operator="containsText" text="In Progress">
      <formula>NOT(ISERROR(SEARCH(("In Progress"),(B2))))</formula>
    </cfRule>
  </conditionalFormatting>
  <conditionalFormatting sqref="B2:D2 G3:O3">
    <cfRule type="containsText" dxfId="24" priority="23" stopIfTrue="1" operator="containsText" text="Not Tested">
      <formula>NOT(ISERROR(SEARCH(("Not Tested"),(B2))))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495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495</v>
      </c>
      <c r="H1" s="6"/>
      <c r="I1" s="7"/>
      <c r="J1" s="5" t="s">
        <v>496</v>
      </c>
      <c r="K1" s="6"/>
      <c r="L1" s="7"/>
      <c r="M1" s="5" t="s">
        <v>497</v>
      </c>
      <c r="N1" s="6"/>
      <c r="O1" s="7"/>
      <c r="P1" s="5" t="s">
        <v>498</v>
      </c>
      <c r="Q1" s="6"/>
      <c r="R1" s="7"/>
      <c r="S1" s="5" t="s">
        <v>499</v>
      </c>
      <c r="T1" s="6"/>
      <c r="U1" s="7"/>
    </row>
    <row r="2">
      <c r="A2" s="8"/>
      <c r="B2" s="9" t="s">
        <v>500</v>
      </c>
      <c r="C2" s="9" t="s">
        <v>10</v>
      </c>
      <c r="D2" s="9" t="s">
        <v>10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  <c r="P2" s="12" t="s">
        <v>5</v>
      </c>
      <c r="Q2" s="12" t="s">
        <v>6</v>
      </c>
      <c r="R2" s="12" t="s">
        <v>7</v>
      </c>
      <c r="S2" s="12" t="s">
        <v>5</v>
      </c>
      <c r="T2" s="12" t="s">
        <v>6</v>
      </c>
      <c r="U2" s="12" t="s">
        <v>7</v>
      </c>
    </row>
    <row r="3">
      <c r="A3" s="13" t="s">
        <v>8</v>
      </c>
      <c r="B3" s="9" t="s">
        <v>501</v>
      </c>
      <c r="C3" s="9" t="s">
        <v>12</v>
      </c>
      <c r="D3" s="9" t="s">
        <v>12</v>
      </c>
      <c r="E3" s="10"/>
      <c r="F3" s="14" t="s">
        <v>9</v>
      </c>
      <c r="G3" s="15" t="s">
        <v>11</v>
      </c>
      <c r="H3" s="15" t="s">
        <v>10</v>
      </c>
      <c r="I3" s="15" t="s">
        <v>10</v>
      </c>
      <c r="J3" s="15" t="s">
        <v>10</v>
      </c>
      <c r="K3" s="15" t="s">
        <v>11</v>
      </c>
      <c r="L3" s="15" t="s">
        <v>10</v>
      </c>
      <c r="M3" s="15" t="s">
        <v>10</v>
      </c>
      <c r="N3" s="15" t="s">
        <v>10</v>
      </c>
      <c r="O3" s="15" t="s">
        <v>10</v>
      </c>
      <c r="P3" s="15" t="s">
        <v>10</v>
      </c>
      <c r="Q3" s="15" t="s">
        <v>10</v>
      </c>
      <c r="R3" s="15" t="s">
        <v>10</v>
      </c>
      <c r="S3" s="15" t="s">
        <v>10</v>
      </c>
      <c r="T3" s="15" t="s">
        <v>10</v>
      </c>
      <c r="U3" s="15" t="s">
        <v>292</v>
      </c>
    </row>
    <row r="4">
      <c r="A4" s="16"/>
      <c r="B4" s="10"/>
      <c r="C4" s="10"/>
      <c r="D4" s="10"/>
      <c r="E4" s="10"/>
      <c r="F4" s="17"/>
      <c r="G4" s="15" t="s">
        <v>501</v>
      </c>
      <c r="H4" s="15" t="s">
        <v>12</v>
      </c>
      <c r="I4" s="15" t="s">
        <v>12</v>
      </c>
      <c r="J4" s="15" t="s">
        <v>12</v>
      </c>
      <c r="K4" s="15" t="s">
        <v>297</v>
      </c>
      <c r="L4" s="15" t="s">
        <v>12</v>
      </c>
      <c r="M4" s="15" t="s">
        <v>12</v>
      </c>
      <c r="N4" s="15" t="s">
        <v>12</v>
      </c>
      <c r="O4" s="15" t="s">
        <v>301</v>
      </c>
      <c r="P4" s="15" t="s">
        <v>12</v>
      </c>
      <c r="Q4" s="15" t="s">
        <v>12</v>
      </c>
      <c r="R4" s="15" t="s">
        <v>298</v>
      </c>
      <c r="S4" s="15" t="s">
        <v>12</v>
      </c>
      <c r="T4" s="15" t="s">
        <v>12</v>
      </c>
      <c r="U4" s="15" t="s">
        <v>297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  <c r="M5" s="21"/>
      <c r="N5" s="21"/>
      <c r="O5" s="22"/>
      <c r="P5" s="21"/>
      <c r="Q5" s="21"/>
      <c r="R5" s="22"/>
      <c r="S5" s="21"/>
      <c r="T5" s="21"/>
      <c r="U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48" t="s">
        <v>24</v>
      </c>
      <c r="H6" s="260"/>
      <c r="I6" s="262"/>
      <c r="J6" s="248"/>
      <c r="K6" s="260" t="s">
        <v>24</v>
      </c>
      <c r="L6" s="262"/>
      <c r="M6" s="248"/>
      <c r="N6" s="260"/>
      <c r="O6" s="262" t="s">
        <v>24</v>
      </c>
      <c r="P6" s="248"/>
      <c r="Q6" s="260"/>
      <c r="R6" s="262" t="s">
        <v>24</v>
      </c>
      <c r="S6" s="248"/>
      <c r="T6" s="260"/>
      <c r="U6" s="284" t="s">
        <v>502</v>
      </c>
    </row>
    <row r="7">
      <c r="A7" s="32"/>
      <c r="B7" s="32"/>
      <c r="C7" s="91" t="s">
        <v>345</v>
      </c>
      <c r="D7" s="10"/>
      <c r="E7" s="247" t="s">
        <v>383</v>
      </c>
      <c r="F7" s="17"/>
      <c r="G7" s="248" t="s">
        <v>24</v>
      </c>
      <c r="H7" s="259"/>
      <c r="I7" s="296"/>
      <c r="J7" s="248"/>
      <c r="K7" s="259" t="s">
        <v>24</v>
      </c>
      <c r="L7" s="296"/>
      <c r="M7" s="248"/>
      <c r="N7" s="259"/>
      <c r="O7" s="296" t="s">
        <v>24</v>
      </c>
      <c r="P7" s="248"/>
      <c r="Q7" s="259"/>
      <c r="R7" s="312" t="s">
        <v>503</v>
      </c>
      <c r="S7" s="248"/>
      <c r="T7" s="259"/>
      <c r="U7" s="284" t="s">
        <v>503</v>
      </c>
    </row>
    <row r="8">
      <c r="A8" s="32"/>
      <c r="B8" s="32"/>
      <c r="C8" s="91" t="s">
        <v>347</v>
      </c>
      <c r="D8" s="10"/>
      <c r="E8" s="249" t="s">
        <v>308</v>
      </c>
      <c r="F8" s="17"/>
      <c r="G8" s="248" t="s">
        <v>24</v>
      </c>
      <c r="H8" s="260"/>
      <c r="I8" s="274"/>
      <c r="J8" s="248"/>
      <c r="K8" s="260" t="s">
        <v>24</v>
      </c>
      <c r="L8" s="274"/>
      <c r="M8" s="248"/>
      <c r="N8" s="260"/>
      <c r="O8" s="274" t="s">
        <v>24</v>
      </c>
      <c r="P8" s="248"/>
      <c r="Q8" s="260"/>
      <c r="R8" s="313" t="s">
        <v>24</v>
      </c>
      <c r="S8" s="248"/>
      <c r="T8" s="260"/>
      <c r="U8" s="313" t="s">
        <v>24</v>
      </c>
    </row>
    <row r="9">
      <c r="A9" s="32"/>
      <c r="B9" s="32"/>
      <c r="C9" s="87" t="s">
        <v>348</v>
      </c>
      <c r="D9" s="10"/>
      <c r="E9" s="245" t="s">
        <v>77</v>
      </c>
      <c r="F9" s="17"/>
      <c r="G9" s="248" t="s">
        <v>24</v>
      </c>
      <c r="H9" s="260"/>
      <c r="I9" s="262"/>
      <c r="J9" s="248"/>
      <c r="K9" s="260" t="s">
        <v>24</v>
      </c>
      <c r="L9" s="262"/>
      <c r="M9" s="248"/>
      <c r="N9" s="260"/>
      <c r="O9" s="262" t="s">
        <v>24</v>
      </c>
      <c r="P9" s="248"/>
      <c r="Q9" s="260"/>
      <c r="R9" s="262" t="s">
        <v>24</v>
      </c>
      <c r="S9" s="248"/>
      <c r="T9" s="260"/>
      <c r="U9" s="262" t="s">
        <v>24</v>
      </c>
    </row>
    <row r="10">
      <c r="A10" s="32"/>
      <c r="B10" s="32"/>
      <c r="C10" s="77" t="s">
        <v>481</v>
      </c>
      <c r="D10" s="10"/>
      <c r="E10" s="245" t="s">
        <v>100</v>
      </c>
      <c r="F10" s="17"/>
      <c r="G10" s="248" t="s">
        <v>24</v>
      </c>
      <c r="H10" s="260"/>
      <c r="I10" s="314"/>
      <c r="J10" s="248"/>
      <c r="K10" s="260" t="s">
        <v>24</v>
      </c>
      <c r="L10" s="314"/>
      <c r="M10" s="248"/>
      <c r="N10" s="260"/>
      <c r="O10" s="315" t="s">
        <v>24</v>
      </c>
      <c r="P10" s="248"/>
      <c r="Q10" s="260"/>
      <c r="R10" s="274" t="s">
        <v>504</v>
      </c>
      <c r="S10" s="248"/>
      <c r="T10" s="260"/>
      <c r="U10" s="284" t="s">
        <v>504</v>
      </c>
    </row>
    <row r="11">
      <c r="A11" s="32"/>
      <c r="B11" s="32"/>
      <c r="C11" s="87" t="s">
        <v>505</v>
      </c>
      <c r="D11" s="10"/>
      <c r="E11" s="10"/>
      <c r="F11" s="212" t="s">
        <v>351</v>
      </c>
      <c r="G11" s="248" t="s">
        <v>24</v>
      </c>
      <c r="H11" s="260"/>
      <c r="I11" s="262"/>
      <c r="J11" s="248"/>
      <c r="K11" s="260" t="s">
        <v>24</v>
      </c>
      <c r="L11" s="262"/>
      <c r="M11" s="248"/>
      <c r="N11" s="260"/>
      <c r="O11" s="262" t="s">
        <v>24</v>
      </c>
      <c r="P11" s="248"/>
      <c r="Q11" s="260"/>
      <c r="R11" s="262" t="s">
        <v>24</v>
      </c>
      <c r="S11" s="248"/>
      <c r="T11" s="260"/>
      <c r="U11" s="262" t="s">
        <v>24</v>
      </c>
    </row>
    <row r="12">
      <c r="A12" s="32"/>
      <c r="B12" s="32"/>
      <c r="C12" s="77" t="s">
        <v>354</v>
      </c>
      <c r="D12" s="10"/>
      <c r="E12" s="10"/>
      <c r="F12" s="213" t="s">
        <v>83</v>
      </c>
      <c r="G12" s="248" t="s">
        <v>24</v>
      </c>
      <c r="H12" s="260"/>
      <c r="I12" s="262"/>
      <c r="J12" s="248"/>
      <c r="K12" s="260" t="s">
        <v>24</v>
      </c>
      <c r="L12" s="262"/>
      <c r="M12" s="248"/>
      <c r="N12" s="260"/>
      <c r="O12" s="262" t="s">
        <v>24</v>
      </c>
      <c r="P12" s="248"/>
      <c r="Q12" s="260"/>
      <c r="R12" s="262" t="s">
        <v>24</v>
      </c>
      <c r="S12" s="248"/>
      <c r="T12" s="260"/>
      <c r="U12" s="262" t="s">
        <v>24</v>
      </c>
    </row>
    <row r="13">
      <c r="A13" s="32"/>
      <c r="B13" s="32"/>
      <c r="C13" s="214" t="s">
        <v>355</v>
      </c>
      <c r="D13" s="10"/>
      <c r="E13" s="245" t="s">
        <v>34</v>
      </c>
      <c r="F13" s="17"/>
      <c r="G13" s="248" t="s">
        <v>24</v>
      </c>
      <c r="H13" s="259"/>
      <c r="I13" s="298"/>
      <c r="J13" s="248"/>
      <c r="K13" s="259" t="s">
        <v>24</v>
      </c>
      <c r="L13" s="298"/>
      <c r="M13" s="248"/>
      <c r="N13" s="259"/>
      <c r="O13" s="298" t="s">
        <v>24</v>
      </c>
      <c r="P13" s="248"/>
      <c r="Q13" s="259"/>
      <c r="R13" s="298" t="s">
        <v>24</v>
      </c>
      <c r="S13" s="248"/>
      <c r="T13" s="259"/>
      <c r="U13" s="316" t="s">
        <v>506</v>
      </c>
    </row>
    <row r="14">
      <c r="A14" s="32"/>
      <c r="B14" s="32"/>
      <c r="C14" s="77" t="s">
        <v>357</v>
      </c>
      <c r="D14" s="10"/>
      <c r="E14" s="245" t="s">
        <v>34</v>
      </c>
      <c r="F14" s="17"/>
      <c r="G14" s="248" t="s">
        <v>24</v>
      </c>
      <c r="H14" s="260"/>
      <c r="I14" s="262"/>
      <c r="J14" s="248"/>
      <c r="K14" s="260" t="s">
        <v>24</v>
      </c>
      <c r="L14" s="262"/>
      <c r="M14" s="248"/>
      <c r="N14" s="260"/>
      <c r="O14" s="262" t="s">
        <v>24</v>
      </c>
      <c r="P14" s="248"/>
      <c r="Q14" s="260"/>
      <c r="R14" s="262" t="s">
        <v>24</v>
      </c>
      <c r="S14" s="248"/>
      <c r="T14" s="260"/>
      <c r="U14" s="262" t="s">
        <v>24</v>
      </c>
    </row>
    <row r="15">
      <c r="A15" s="32"/>
      <c r="B15" s="37"/>
      <c r="C15" s="77" t="s">
        <v>396</v>
      </c>
      <c r="D15" s="10"/>
      <c r="E15" s="245" t="s">
        <v>100</v>
      </c>
      <c r="F15" s="213" t="s">
        <v>103</v>
      </c>
      <c r="G15" s="248" t="s">
        <v>24</v>
      </c>
      <c r="H15" s="296"/>
      <c r="I15" s="317"/>
      <c r="J15" s="248"/>
      <c r="K15" s="318" t="s">
        <v>507</v>
      </c>
      <c r="L15" s="317"/>
      <c r="M15" s="248"/>
      <c r="N15" s="260"/>
      <c r="O15" s="319" t="s">
        <v>507</v>
      </c>
      <c r="P15" s="248"/>
      <c r="Q15" s="260"/>
      <c r="R15" s="274" t="s">
        <v>507</v>
      </c>
      <c r="S15" s="248"/>
      <c r="T15" s="260"/>
      <c r="U15" s="284" t="s">
        <v>507</v>
      </c>
    </row>
    <row r="16">
      <c r="A16" s="32"/>
      <c r="B16" s="216" t="s">
        <v>362</v>
      </c>
      <c r="C16" s="204" t="s">
        <v>363</v>
      </c>
      <c r="D16" s="10"/>
      <c r="E16" s="10"/>
      <c r="F16" s="213" t="s">
        <v>364</v>
      </c>
      <c r="G16" s="305" t="s">
        <v>483</v>
      </c>
      <c r="H16" s="258"/>
      <c r="I16" s="274"/>
      <c r="J16" s="248"/>
      <c r="K16" s="305" t="s">
        <v>483</v>
      </c>
      <c r="L16" s="274"/>
      <c r="M16" s="248"/>
      <c r="N16" s="260"/>
      <c r="O16" s="274" t="s">
        <v>483</v>
      </c>
      <c r="P16" s="248"/>
      <c r="Q16" s="260"/>
      <c r="R16" s="274" t="s">
        <v>483</v>
      </c>
      <c r="S16" s="248"/>
      <c r="T16" s="260"/>
      <c r="U16" s="320" t="s">
        <v>483</v>
      </c>
    </row>
    <row r="17">
      <c r="A17" s="32"/>
      <c r="B17" s="37"/>
      <c r="C17" s="204" t="s">
        <v>365</v>
      </c>
      <c r="D17" s="10"/>
      <c r="E17" s="10"/>
      <c r="F17" s="212" t="s">
        <v>105</v>
      </c>
      <c r="G17" s="248" t="s">
        <v>24</v>
      </c>
      <c r="H17" s="260"/>
      <c r="I17" s="262"/>
      <c r="J17" s="248"/>
      <c r="K17" s="260" t="s">
        <v>24</v>
      </c>
      <c r="L17" s="262"/>
      <c r="M17" s="248"/>
      <c r="N17" s="260"/>
      <c r="O17" s="262"/>
      <c r="P17" s="248"/>
      <c r="Q17" s="260"/>
      <c r="R17" s="262"/>
      <c r="S17" s="248"/>
      <c r="T17" s="260"/>
      <c r="U17" s="262" t="s">
        <v>24</v>
      </c>
    </row>
    <row r="18">
      <c r="A18" s="203" t="s">
        <v>108</v>
      </c>
      <c r="B18" s="102" t="s">
        <v>109</v>
      </c>
      <c r="C18" s="77" t="s">
        <v>110</v>
      </c>
      <c r="D18" s="10"/>
      <c r="E18" s="10"/>
      <c r="F18" s="17"/>
      <c r="G18" s="248" t="s">
        <v>24</v>
      </c>
      <c r="H18" s="260"/>
      <c r="I18" s="262"/>
      <c r="J18" s="248"/>
      <c r="K18" s="260" t="s">
        <v>24</v>
      </c>
      <c r="L18" s="262"/>
      <c r="M18" s="248"/>
      <c r="N18" s="260"/>
      <c r="O18" s="262" t="s">
        <v>24</v>
      </c>
      <c r="P18" s="248"/>
      <c r="Q18" s="260"/>
      <c r="R18" s="262"/>
      <c r="S18" s="248"/>
      <c r="T18" s="260"/>
      <c r="U18" s="262" t="s">
        <v>24</v>
      </c>
    </row>
    <row r="19">
      <c r="A19" s="32"/>
      <c r="B19" s="32"/>
      <c r="C19" s="77" t="s">
        <v>112</v>
      </c>
      <c r="D19" s="10"/>
      <c r="E19" s="10"/>
      <c r="F19" s="17"/>
      <c r="G19" s="248" t="s">
        <v>24</v>
      </c>
      <c r="H19" s="262"/>
      <c r="I19" s="262"/>
      <c r="J19" s="248"/>
      <c r="K19" s="262" t="s">
        <v>24</v>
      </c>
      <c r="L19" s="262"/>
      <c r="M19" s="248"/>
      <c r="N19" s="262"/>
      <c r="O19" s="262" t="s">
        <v>24</v>
      </c>
      <c r="P19" s="248"/>
      <c r="Q19" s="262"/>
      <c r="R19" s="262" t="s">
        <v>24</v>
      </c>
      <c r="S19" s="248"/>
      <c r="T19" s="262"/>
      <c r="U19" s="262" t="s">
        <v>24</v>
      </c>
    </row>
    <row r="20">
      <c r="A20" s="32"/>
      <c r="B20" s="32"/>
      <c r="C20" s="83" t="s">
        <v>114</v>
      </c>
      <c r="D20" s="10"/>
      <c r="E20" s="243" t="s">
        <v>115</v>
      </c>
      <c r="F20" s="17"/>
      <c r="G20" s="248" t="s">
        <v>24</v>
      </c>
      <c r="H20" s="260"/>
      <c r="I20" s="262"/>
      <c r="J20" s="248"/>
      <c r="K20" s="260" t="s">
        <v>24</v>
      </c>
      <c r="L20" s="262"/>
      <c r="M20" s="248"/>
      <c r="N20" s="260"/>
      <c r="O20" s="262" t="s">
        <v>24</v>
      </c>
      <c r="P20" s="248"/>
      <c r="Q20" s="260"/>
      <c r="R20" s="262" t="s">
        <v>24</v>
      </c>
      <c r="S20" s="248"/>
      <c r="T20" s="260"/>
      <c r="U20" s="262" t="s">
        <v>24</v>
      </c>
    </row>
    <row r="21">
      <c r="A21" s="32"/>
      <c r="B21" s="32"/>
      <c r="C21" s="85" t="s">
        <v>116</v>
      </c>
      <c r="D21" s="10"/>
      <c r="E21" s="10"/>
      <c r="F21" s="213" t="s">
        <v>117</v>
      </c>
      <c r="G21" s="248" t="s">
        <v>24</v>
      </c>
      <c r="H21" s="260"/>
      <c r="I21" s="262"/>
      <c r="J21" s="248"/>
      <c r="K21" s="260" t="s">
        <v>24</v>
      </c>
      <c r="L21" s="262"/>
      <c r="M21" s="248"/>
      <c r="N21" s="260"/>
      <c r="O21" s="262" t="s">
        <v>24</v>
      </c>
      <c r="P21" s="248"/>
      <c r="Q21" s="260"/>
      <c r="R21" s="262" t="s">
        <v>24</v>
      </c>
      <c r="S21" s="248"/>
      <c r="T21" s="260"/>
      <c r="U21" s="262" t="s">
        <v>24</v>
      </c>
    </row>
    <row r="22">
      <c r="A22" s="32"/>
      <c r="B22" s="32"/>
      <c r="C22" s="87" t="s">
        <v>118</v>
      </c>
      <c r="D22" s="10"/>
      <c r="E22" s="252" t="s">
        <v>386</v>
      </c>
      <c r="F22" s="213"/>
      <c r="G22" s="248" t="s">
        <v>24</v>
      </c>
      <c r="H22" s="260"/>
      <c r="I22" s="262"/>
      <c r="J22" s="248"/>
      <c r="K22" s="260" t="s">
        <v>24</v>
      </c>
      <c r="L22" s="262"/>
      <c r="M22" s="248"/>
      <c r="N22" s="260"/>
      <c r="O22" s="262"/>
      <c r="P22" s="248"/>
      <c r="Q22" s="260"/>
      <c r="R22" s="262" t="s">
        <v>24</v>
      </c>
      <c r="S22" s="248"/>
      <c r="T22" s="260"/>
      <c r="U22" s="262" t="s">
        <v>24</v>
      </c>
    </row>
    <row r="23">
      <c r="A23" s="32"/>
      <c r="B23" s="32"/>
      <c r="C23" s="90" t="s">
        <v>120</v>
      </c>
      <c r="D23" s="10"/>
      <c r="E23" s="252" t="s">
        <v>121</v>
      </c>
      <c r="F23" s="213" t="s">
        <v>122</v>
      </c>
      <c r="G23" s="248" t="s">
        <v>24</v>
      </c>
      <c r="H23" s="260"/>
      <c r="I23" s="262"/>
      <c r="J23" s="248"/>
      <c r="K23" s="260" t="s">
        <v>24</v>
      </c>
      <c r="L23" s="262"/>
      <c r="M23" s="248"/>
      <c r="N23" s="260"/>
      <c r="O23" s="262"/>
      <c r="P23" s="248"/>
      <c r="Q23" s="260"/>
      <c r="R23" s="262" t="s">
        <v>24</v>
      </c>
      <c r="S23" s="248"/>
      <c r="T23" s="260"/>
      <c r="U23" s="262" t="s">
        <v>24</v>
      </c>
    </row>
    <row r="24">
      <c r="A24" s="32"/>
      <c r="B24" s="32"/>
      <c r="C24" s="91" t="s">
        <v>123</v>
      </c>
      <c r="D24" s="10"/>
      <c r="E24" s="10"/>
      <c r="F24" s="213" t="s">
        <v>124</v>
      </c>
      <c r="G24" s="289" t="s">
        <v>485</v>
      </c>
      <c r="H24" s="258"/>
      <c r="I24" s="274"/>
      <c r="J24" s="248"/>
      <c r="K24" s="289" t="s">
        <v>485</v>
      </c>
      <c r="L24" s="274"/>
      <c r="M24" s="248"/>
      <c r="N24" s="260"/>
      <c r="O24" s="274" t="s">
        <v>24</v>
      </c>
      <c r="P24" s="248"/>
      <c r="Q24" s="260"/>
      <c r="R24" s="274" t="s">
        <v>24</v>
      </c>
      <c r="S24" s="248"/>
      <c r="T24" s="260"/>
      <c r="U24" s="284" t="s">
        <v>508</v>
      </c>
    </row>
    <row r="25">
      <c r="A25" s="32"/>
      <c r="B25" s="32"/>
      <c r="C25" s="92" t="s">
        <v>125</v>
      </c>
      <c r="D25" s="10"/>
      <c r="E25" s="10"/>
      <c r="F25" s="213" t="s">
        <v>126</v>
      </c>
      <c r="G25" s="289" t="s">
        <v>486</v>
      </c>
      <c r="H25" s="258"/>
      <c r="I25" s="274"/>
      <c r="J25" s="248"/>
      <c r="K25" s="289" t="s">
        <v>486</v>
      </c>
      <c r="L25" s="274"/>
      <c r="M25" s="248"/>
      <c r="N25" s="260"/>
      <c r="O25" s="274" t="s">
        <v>24</v>
      </c>
      <c r="P25" s="248"/>
      <c r="Q25" s="260"/>
      <c r="R25" s="274" t="s">
        <v>24</v>
      </c>
      <c r="S25" s="248"/>
      <c r="T25" s="260"/>
      <c r="U25" s="284" t="s">
        <v>508</v>
      </c>
    </row>
    <row r="26">
      <c r="A26" s="32"/>
      <c r="B26" s="32"/>
      <c r="C26" s="77" t="s">
        <v>127</v>
      </c>
      <c r="D26" s="10"/>
      <c r="E26" s="10"/>
      <c r="F26" s="213" t="s">
        <v>128</v>
      </c>
      <c r="G26" s="289" t="s">
        <v>485</v>
      </c>
      <c r="H26" s="258"/>
      <c r="I26" s="274"/>
      <c r="J26" s="248"/>
      <c r="K26" s="289" t="s">
        <v>485</v>
      </c>
      <c r="L26" s="274"/>
      <c r="M26" s="248"/>
      <c r="N26" s="260"/>
      <c r="O26" s="274" t="s">
        <v>24</v>
      </c>
      <c r="P26" s="248"/>
      <c r="Q26" s="260"/>
      <c r="R26" s="274" t="s">
        <v>24</v>
      </c>
      <c r="S26" s="248"/>
      <c r="T26" s="260"/>
      <c r="U26" s="284" t="s">
        <v>508</v>
      </c>
    </row>
    <row r="27">
      <c r="A27" s="32"/>
      <c r="B27" s="32"/>
      <c r="C27" s="93" t="s">
        <v>129</v>
      </c>
      <c r="D27" s="10"/>
      <c r="E27" s="245" t="s">
        <v>313</v>
      </c>
      <c r="F27" s="17"/>
      <c r="G27" s="248" t="s">
        <v>24</v>
      </c>
      <c r="H27" s="260"/>
      <c r="I27" s="262"/>
      <c r="J27" s="248"/>
      <c r="K27" s="260" t="s">
        <v>24</v>
      </c>
      <c r="L27" s="262"/>
      <c r="M27" s="248"/>
      <c r="N27" s="260"/>
      <c r="O27" s="262" t="s">
        <v>24</v>
      </c>
      <c r="P27" s="248"/>
      <c r="Q27" s="260"/>
      <c r="R27" s="262" t="s">
        <v>24</v>
      </c>
      <c r="S27" s="248"/>
      <c r="T27" s="260"/>
      <c r="U27" s="262" t="s">
        <v>24</v>
      </c>
    </row>
    <row r="28">
      <c r="A28" s="32"/>
      <c r="B28" s="32"/>
      <c r="C28" s="92" t="s">
        <v>368</v>
      </c>
      <c r="D28" s="10"/>
      <c r="E28" s="10"/>
      <c r="F28" s="17"/>
      <c r="G28" s="248" t="s">
        <v>24</v>
      </c>
      <c r="H28" s="260"/>
      <c r="I28" s="262"/>
      <c r="J28" s="248"/>
      <c r="K28" s="260" t="s">
        <v>24</v>
      </c>
      <c r="L28" s="262"/>
      <c r="M28" s="248"/>
      <c r="N28" s="260"/>
      <c r="O28" s="262" t="s">
        <v>24</v>
      </c>
      <c r="P28" s="248"/>
      <c r="Q28" s="260"/>
      <c r="R28" s="262" t="s">
        <v>24</v>
      </c>
      <c r="S28" s="248"/>
      <c r="T28" s="260"/>
      <c r="U28" s="262" t="s">
        <v>24</v>
      </c>
    </row>
    <row r="29">
      <c r="A29" s="32"/>
      <c r="B29" s="32"/>
      <c r="C29" s="98" t="s">
        <v>134</v>
      </c>
      <c r="D29" s="10"/>
      <c r="E29" s="10"/>
      <c r="F29" s="221" t="s">
        <v>136</v>
      </c>
      <c r="G29" s="248" t="s">
        <v>24</v>
      </c>
      <c r="H29" s="260"/>
      <c r="I29" s="262"/>
      <c r="J29" s="248"/>
      <c r="K29" s="260" t="s">
        <v>24</v>
      </c>
      <c r="L29" s="262"/>
      <c r="M29" s="248"/>
      <c r="N29" s="260"/>
      <c r="O29" s="262" t="s">
        <v>24</v>
      </c>
      <c r="P29" s="248"/>
      <c r="Q29" s="260"/>
      <c r="R29" s="262" t="s">
        <v>24</v>
      </c>
      <c r="S29" s="248"/>
      <c r="T29" s="260"/>
      <c r="U29" s="262" t="s">
        <v>24</v>
      </c>
    </row>
    <row r="30">
      <c r="A30" s="32"/>
      <c r="B30" s="32"/>
      <c r="C30" s="92" t="s">
        <v>137</v>
      </c>
      <c r="D30" s="10"/>
      <c r="E30" s="10"/>
      <c r="F30" s="17"/>
      <c r="G30" s="248" t="s">
        <v>24</v>
      </c>
      <c r="H30" s="259"/>
      <c r="I30" s="262"/>
      <c r="J30" s="248"/>
      <c r="K30" s="259" t="s">
        <v>24</v>
      </c>
      <c r="L30" s="262"/>
      <c r="M30" s="248"/>
      <c r="N30" s="259"/>
      <c r="O30" s="262" t="s">
        <v>24</v>
      </c>
      <c r="P30" s="248"/>
      <c r="Q30" s="259"/>
      <c r="R30" s="262" t="s">
        <v>24</v>
      </c>
      <c r="S30" s="248"/>
      <c r="T30" s="259"/>
      <c r="U30" s="262" t="s">
        <v>24</v>
      </c>
    </row>
    <row r="31">
      <c r="A31" s="32"/>
      <c r="B31" s="32"/>
      <c r="C31" s="92" t="s">
        <v>138</v>
      </c>
      <c r="D31" s="10"/>
      <c r="E31" s="10"/>
      <c r="F31" s="17"/>
      <c r="G31" s="248" t="s">
        <v>24</v>
      </c>
      <c r="H31" s="260"/>
      <c r="I31" s="262"/>
      <c r="J31" s="248"/>
      <c r="K31" s="260" t="s">
        <v>24</v>
      </c>
      <c r="L31" s="262"/>
      <c r="M31" s="248"/>
      <c r="N31" s="260"/>
      <c r="O31" s="262" t="s">
        <v>24</v>
      </c>
      <c r="P31" s="248"/>
      <c r="Q31" s="260"/>
      <c r="R31" s="262" t="s">
        <v>24</v>
      </c>
      <c r="S31" s="248"/>
      <c r="T31" s="260"/>
      <c r="U31" s="262" t="s">
        <v>24</v>
      </c>
    </row>
    <row r="32">
      <c r="A32" s="32"/>
      <c r="B32" s="37"/>
      <c r="C32" s="101" t="s">
        <v>139</v>
      </c>
      <c r="D32" s="10"/>
      <c r="E32" s="10"/>
      <c r="F32" s="17"/>
      <c r="G32" s="248" t="s">
        <v>24</v>
      </c>
      <c r="H32" s="260"/>
      <c r="I32" s="262"/>
      <c r="J32" s="248"/>
      <c r="K32" s="260" t="s">
        <v>24</v>
      </c>
      <c r="L32" s="262"/>
      <c r="M32" s="248"/>
      <c r="N32" s="260"/>
      <c r="O32" s="262" t="s">
        <v>24</v>
      </c>
      <c r="P32" s="248"/>
      <c r="Q32" s="260"/>
      <c r="R32" s="262" t="s">
        <v>24</v>
      </c>
      <c r="S32" s="248"/>
      <c r="T32" s="260"/>
      <c r="U32" s="262" t="s">
        <v>24</v>
      </c>
    </row>
    <row r="33">
      <c r="A33" s="32"/>
      <c r="B33" s="102" t="s">
        <v>140</v>
      </c>
      <c r="C33" s="103" t="s">
        <v>141</v>
      </c>
      <c r="D33" s="245" t="s">
        <v>180</v>
      </c>
      <c r="E33" s="245" t="s">
        <v>453</v>
      </c>
      <c r="F33" s="17"/>
      <c r="G33" s="248" t="s">
        <v>24</v>
      </c>
      <c r="H33" s="260"/>
      <c r="I33" s="274"/>
      <c r="J33" s="248"/>
      <c r="K33" s="260" t="s">
        <v>24</v>
      </c>
      <c r="L33" s="274"/>
      <c r="M33" s="248"/>
      <c r="N33" s="260"/>
      <c r="O33" s="274" t="s">
        <v>24</v>
      </c>
      <c r="P33" s="248"/>
      <c r="Q33" s="260"/>
      <c r="R33" s="274" t="s">
        <v>509</v>
      </c>
      <c r="S33" s="248"/>
      <c r="T33" s="260"/>
      <c r="U33" s="284" t="s">
        <v>509</v>
      </c>
    </row>
    <row r="34">
      <c r="A34" s="32"/>
      <c r="B34" s="32"/>
      <c r="C34" s="93" t="s">
        <v>146</v>
      </c>
      <c r="D34" s="10"/>
      <c r="E34" s="10"/>
      <c r="F34" s="213" t="s">
        <v>147</v>
      </c>
      <c r="G34" s="248" t="s">
        <v>24</v>
      </c>
      <c r="H34" s="260"/>
      <c r="I34" s="262"/>
      <c r="J34" s="248"/>
      <c r="K34" s="260" t="s">
        <v>24</v>
      </c>
      <c r="L34" s="262"/>
      <c r="M34" s="248"/>
      <c r="N34" s="260"/>
      <c r="O34" s="262" t="s">
        <v>24</v>
      </c>
      <c r="P34" s="248"/>
      <c r="Q34" s="260"/>
      <c r="R34" s="262" t="s">
        <v>24</v>
      </c>
      <c r="S34" s="248"/>
      <c r="T34" s="260"/>
      <c r="U34" s="262" t="s">
        <v>24</v>
      </c>
    </row>
    <row r="35">
      <c r="A35" s="32"/>
      <c r="B35" s="32"/>
      <c r="C35" s="107" t="s">
        <v>148</v>
      </c>
      <c r="D35" s="10"/>
      <c r="E35" s="10"/>
      <c r="F35" s="213" t="s">
        <v>149</v>
      </c>
      <c r="G35" s="248" t="s">
        <v>24</v>
      </c>
      <c r="H35" s="260"/>
      <c r="I35" s="274"/>
      <c r="J35" s="248"/>
      <c r="K35" s="260" t="s">
        <v>24</v>
      </c>
      <c r="L35" s="274"/>
      <c r="M35" s="248"/>
      <c r="N35" s="260"/>
      <c r="O35" s="274" t="s">
        <v>24</v>
      </c>
      <c r="P35" s="248"/>
      <c r="Q35" s="260"/>
      <c r="R35" s="274" t="s">
        <v>24</v>
      </c>
      <c r="S35" s="248"/>
      <c r="T35" s="260"/>
      <c r="U35" s="284" t="s">
        <v>510</v>
      </c>
    </row>
    <row r="36">
      <c r="A36" s="32"/>
      <c r="B36" s="32"/>
      <c r="C36" s="108" t="s">
        <v>150</v>
      </c>
      <c r="D36" s="10"/>
      <c r="E36" s="10"/>
      <c r="F36" s="213" t="s">
        <v>149</v>
      </c>
      <c r="G36" s="248" t="s">
        <v>24</v>
      </c>
      <c r="H36" s="260"/>
      <c r="I36" s="262"/>
      <c r="J36" s="248"/>
      <c r="K36" s="260" t="s">
        <v>24</v>
      </c>
      <c r="L36" s="262"/>
      <c r="M36" s="248"/>
      <c r="N36" s="260"/>
      <c r="O36" s="262" t="s">
        <v>24</v>
      </c>
      <c r="P36" s="248"/>
      <c r="Q36" s="260"/>
      <c r="R36" s="262" t="s">
        <v>24</v>
      </c>
      <c r="S36" s="248"/>
      <c r="T36" s="260"/>
      <c r="U36" s="262" t="s">
        <v>24</v>
      </c>
    </row>
    <row r="37">
      <c r="A37" s="32"/>
      <c r="B37" s="32"/>
      <c r="C37" s="307" t="s">
        <v>488</v>
      </c>
      <c r="D37" s="10"/>
      <c r="E37" s="10"/>
      <c r="F37" s="17"/>
      <c r="G37" s="248" t="s">
        <v>24</v>
      </c>
      <c r="H37" s="259"/>
      <c r="I37" s="274"/>
      <c r="J37" s="248"/>
      <c r="K37" s="259" t="s">
        <v>24</v>
      </c>
      <c r="L37" s="274"/>
      <c r="M37" s="248"/>
      <c r="N37" s="259"/>
      <c r="O37" s="274" t="s">
        <v>24</v>
      </c>
      <c r="P37" s="248"/>
      <c r="Q37" s="259"/>
      <c r="R37" s="274" t="s">
        <v>24</v>
      </c>
      <c r="S37" s="248"/>
      <c r="T37" s="259"/>
      <c r="U37" s="274" t="s">
        <v>24</v>
      </c>
    </row>
    <row r="38">
      <c r="A38" s="32"/>
      <c r="B38" s="32"/>
      <c r="C38" s="111" t="s">
        <v>155</v>
      </c>
      <c r="D38" s="10"/>
      <c r="E38" s="10"/>
      <c r="F38" s="221" t="s">
        <v>397</v>
      </c>
      <c r="G38" s="244" t="s">
        <v>397</v>
      </c>
      <c r="H38" s="244"/>
      <c r="I38" s="317"/>
      <c r="J38" s="248"/>
      <c r="K38" s="244" t="s">
        <v>397</v>
      </c>
      <c r="L38" s="317"/>
      <c r="M38" s="248"/>
      <c r="N38" s="220"/>
      <c r="O38" s="319" t="s">
        <v>397</v>
      </c>
      <c r="P38" s="248"/>
      <c r="Q38" s="220"/>
      <c r="R38" s="274" t="s">
        <v>397</v>
      </c>
      <c r="S38" s="248"/>
      <c r="T38" s="220"/>
      <c r="U38" s="274" t="s">
        <v>397</v>
      </c>
    </row>
    <row r="39">
      <c r="A39" s="32"/>
      <c r="B39" s="32"/>
      <c r="C39" s="112" t="s">
        <v>157</v>
      </c>
      <c r="D39" s="10"/>
      <c r="E39" s="243" t="s">
        <v>158</v>
      </c>
      <c r="F39" s="17"/>
      <c r="G39" s="248" t="s">
        <v>24</v>
      </c>
      <c r="H39" s="260"/>
      <c r="I39" s="262"/>
      <c r="J39" s="248"/>
      <c r="K39" s="260" t="s">
        <v>24</v>
      </c>
      <c r="L39" s="262"/>
      <c r="M39" s="248"/>
      <c r="N39" s="260"/>
      <c r="O39" s="262" t="s">
        <v>24</v>
      </c>
      <c r="P39" s="248"/>
      <c r="Q39" s="260"/>
      <c r="R39" s="262" t="s">
        <v>24</v>
      </c>
      <c r="S39" s="248"/>
      <c r="T39" s="260"/>
      <c r="U39" s="262" t="s">
        <v>24</v>
      </c>
    </row>
    <row r="40">
      <c r="A40" s="32"/>
      <c r="B40" s="32"/>
      <c r="C40" s="83" t="s">
        <v>159</v>
      </c>
      <c r="D40" s="10"/>
      <c r="E40" s="10"/>
      <c r="F40" s="17"/>
      <c r="G40" s="248" t="s">
        <v>24</v>
      </c>
      <c r="H40" s="260"/>
      <c r="I40" s="262"/>
      <c r="J40" s="248"/>
      <c r="K40" s="260" t="s">
        <v>24</v>
      </c>
      <c r="L40" s="262"/>
      <c r="M40" s="248"/>
      <c r="N40" s="260"/>
      <c r="O40" s="262" t="s">
        <v>24</v>
      </c>
      <c r="P40" s="248"/>
      <c r="Q40" s="260"/>
      <c r="R40" s="262" t="s">
        <v>24</v>
      </c>
      <c r="S40" s="248"/>
      <c r="T40" s="260"/>
      <c r="U40" s="262" t="s">
        <v>24</v>
      </c>
    </row>
    <row r="41">
      <c r="A41" s="32"/>
      <c r="B41" s="32"/>
      <c r="C41" s="93" t="s">
        <v>161</v>
      </c>
      <c r="D41" s="10"/>
      <c r="E41" s="10"/>
      <c r="F41" s="17"/>
      <c r="G41" s="248" t="s">
        <v>24</v>
      </c>
      <c r="H41" s="260"/>
      <c r="I41" s="262"/>
      <c r="J41" s="248"/>
      <c r="K41" s="260" t="s">
        <v>24</v>
      </c>
      <c r="L41" s="262"/>
      <c r="M41" s="248"/>
      <c r="N41" s="260"/>
      <c r="O41" s="262" t="s">
        <v>24</v>
      </c>
      <c r="P41" s="248"/>
      <c r="Q41" s="260"/>
      <c r="R41" s="262" t="s">
        <v>24</v>
      </c>
      <c r="S41" s="248"/>
      <c r="T41" s="260"/>
      <c r="U41" s="262" t="s">
        <v>24</v>
      </c>
    </row>
    <row r="42">
      <c r="A42" s="32"/>
      <c r="B42" s="32"/>
      <c r="C42" s="93" t="s">
        <v>162</v>
      </c>
      <c r="D42" s="10"/>
      <c r="E42" s="10"/>
      <c r="F42" s="223"/>
      <c r="G42" s="248" t="s">
        <v>24</v>
      </c>
      <c r="H42" s="260"/>
      <c r="I42" s="262"/>
      <c r="J42" s="248"/>
      <c r="K42" s="260"/>
      <c r="L42" s="262"/>
      <c r="M42" s="248"/>
      <c r="N42" s="260"/>
      <c r="O42" s="262"/>
      <c r="P42" s="248"/>
      <c r="Q42" s="260"/>
      <c r="R42" s="262" t="s">
        <v>24</v>
      </c>
      <c r="S42" s="248"/>
      <c r="T42" s="260"/>
      <c r="U42" s="262" t="s">
        <v>24</v>
      </c>
    </row>
    <row r="43">
      <c r="A43" s="32"/>
      <c r="B43" s="32"/>
      <c r="C43" s="106" t="s">
        <v>164</v>
      </c>
      <c r="D43" s="10"/>
      <c r="E43" s="10"/>
      <c r="F43" s="224" t="s">
        <v>165</v>
      </c>
      <c r="G43" s="248"/>
      <c r="H43" s="260"/>
      <c r="I43" s="262"/>
      <c r="J43" s="248"/>
      <c r="K43" s="260"/>
      <c r="L43" s="262"/>
      <c r="M43" s="248"/>
      <c r="N43" s="260"/>
      <c r="O43" s="262"/>
      <c r="P43" s="248"/>
      <c r="Q43" s="260"/>
      <c r="R43" s="262" t="s">
        <v>24</v>
      </c>
      <c r="S43" s="248"/>
      <c r="T43" s="260"/>
      <c r="U43" s="262" t="s">
        <v>24</v>
      </c>
    </row>
    <row r="44">
      <c r="A44" s="32"/>
      <c r="B44" s="32"/>
      <c r="C44" s="106" t="s">
        <v>166</v>
      </c>
      <c r="D44" s="10"/>
      <c r="E44" s="10"/>
      <c r="F44" s="213" t="s">
        <v>472</v>
      </c>
      <c r="G44" s="248" t="s">
        <v>24</v>
      </c>
      <c r="H44" s="260"/>
      <c r="I44" s="262"/>
      <c r="J44" s="248"/>
      <c r="K44" s="260" t="s">
        <v>24</v>
      </c>
      <c r="L44" s="262"/>
      <c r="M44" s="248"/>
      <c r="N44" s="260"/>
      <c r="O44" s="262" t="s">
        <v>24</v>
      </c>
      <c r="P44" s="248"/>
      <c r="Q44" s="260"/>
      <c r="R44" s="262" t="s">
        <v>24</v>
      </c>
      <c r="S44" s="248"/>
      <c r="T44" s="260"/>
      <c r="U44" s="262" t="s">
        <v>24</v>
      </c>
    </row>
    <row r="45">
      <c r="A45" s="32"/>
      <c r="B45" s="37"/>
      <c r="C45" s="93" t="s">
        <v>168</v>
      </c>
      <c r="D45" s="10"/>
      <c r="E45" s="10"/>
      <c r="F45" s="17"/>
      <c r="G45" s="248" t="s">
        <v>24</v>
      </c>
      <c r="H45" s="260"/>
      <c r="I45" s="262"/>
      <c r="J45" s="248"/>
      <c r="K45" s="260"/>
      <c r="L45" s="262"/>
      <c r="M45" s="248"/>
      <c r="N45" s="260"/>
      <c r="O45" s="262" t="s">
        <v>24</v>
      </c>
      <c r="P45" s="248"/>
      <c r="Q45" s="260"/>
      <c r="R45" s="262"/>
      <c r="S45" s="248"/>
      <c r="T45" s="260"/>
      <c r="U45" s="262" t="s">
        <v>24</v>
      </c>
    </row>
    <row r="46">
      <c r="A46" s="32"/>
      <c r="B46" s="115" t="s">
        <v>169</v>
      </c>
      <c r="C46" s="85" t="s">
        <v>141</v>
      </c>
      <c r="D46" s="10"/>
      <c r="E46" s="10"/>
      <c r="F46" s="213" t="s">
        <v>170</v>
      </c>
      <c r="G46" s="248" t="s">
        <v>24</v>
      </c>
      <c r="H46" s="260"/>
      <c r="I46" s="262"/>
      <c r="J46" s="248"/>
      <c r="K46" s="260"/>
      <c r="L46" s="262"/>
      <c r="M46" s="248"/>
      <c r="N46" s="260"/>
      <c r="O46" s="262" t="s">
        <v>24</v>
      </c>
      <c r="P46" s="248"/>
      <c r="Q46" s="260"/>
      <c r="R46" s="262" t="s">
        <v>24</v>
      </c>
      <c r="S46" s="248"/>
      <c r="T46" s="260"/>
      <c r="U46" s="262" t="s">
        <v>24</v>
      </c>
    </row>
    <row r="47">
      <c r="A47" s="32"/>
      <c r="B47" s="32"/>
      <c r="C47" s="85" t="s">
        <v>171</v>
      </c>
      <c r="D47" s="10"/>
      <c r="E47" s="10"/>
      <c r="F47" s="17"/>
      <c r="G47" s="248" t="s">
        <v>24</v>
      </c>
      <c r="H47" s="260"/>
      <c r="I47" s="262"/>
      <c r="J47" s="248"/>
      <c r="K47" s="260"/>
      <c r="L47" s="262"/>
      <c r="M47" s="248"/>
      <c r="N47" s="260"/>
      <c r="O47" s="262" t="s">
        <v>24</v>
      </c>
      <c r="P47" s="248"/>
      <c r="Q47" s="260"/>
      <c r="R47" s="262" t="s">
        <v>24</v>
      </c>
      <c r="S47" s="248"/>
      <c r="T47" s="260"/>
      <c r="U47" s="262" t="s">
        <v>24</v>
      </c>
    </row>
    <row r="48">
      <c r="A48" s="32"/>
      <c r="B48" s="32"/>
      <c r="C48" s="116" t="s">
        <v>315</v>
      </c>
      <c r="D48" s="10"/>
      <c r="E48" s="10"/>
      <c r="F48" s="321" t="s">
        <v>176</v>
      </c>
      <c r="G48" s="248"/>
      <c r="H48" s="260"/>
      <c r="I48" s="262"/>
      <c r="J48" s="248"/>
      <c r="K48" s="260"/>
      <c r="L48" s="262"/>
      <c r="M48" s="248"/>
      <c r="N48" s="260"/>
      <c r="O48" s="262"/>
      <c r="P48" s="248"/>
      <c r="Q48" s="260"/>
      <c r="R48" s="262" t="s">
        <v>24</v>
      </c>
      <c r="S48" s="248"/>
      <c r="T48" s="260"/>
      <c r="U48" s="262" t="s">
        <v>24</v>
      </c>
    </row>
    <row r="49">
      <c r="A49" s="32"/>
      <c r="B49" s="37"/>
      <c r="C49" s="77" t="s">
        <v>177</v>
      </c>
      <c r="D49" s="10"/>
      <c r="E49" s="10"/>
      <c r="F49" s="17"/>
      <c r="G49" s="248"/>
      <c r="H49" s="260"/>
      <c r="I49" s="262"/>
      <c r="J49" s="248"/>
      <c r="K49" s="260"/>
      <c r="L49" s="262"/>
      <c r="M49" s="248"/>
      <c r="N49" s="260"/>
      <c r="O49" s="262" t="s">
        <v>24</v>
      </c>
      <c r="P49" s="248"/>
      <c r="Q49" s="260"/>
      <c r="R49" s="262" t="s">
        <v>24</v>
      </c>
      <c r="S49" s="248"/>
      <c r="T49" s="260"/>
      <c r="U49" s="262" t="s">
        <v>24</v>
      </c>
    </row>
    <row r="50">
      <c r="A50" s="32"/>
      <c r="B50" s="102" t="s">
        <v>178</v>
      </c>
      <c r="C50" s="93" t="s">
        <v>179</v>
      </c>
      <c r="D50" s="10"/>
      <c r="E50" s="10"/>
      <c r="F50" s="17"/>
      <c r="G50" s="248"/>
      <c r="H50" s="260"/>
      <c r="I50" s="262"/>
      <c r="J50" s="248"/>
      <c r="K50" s="260"/>
      <c r="L50" s="262"/>
      <c r="M50" s="248"/>
      <c r="N50" s="260"/>
      <c r="O50" s="262" t="s">
        <v>24</v>
      </c>
      <c r="P50" s="248"/>
      <c r="Q50" s="260"/>
      <c r="R50" s="262" t="s">
        <v>24</v>
      </c>
      <c r="S50" s="248"/>
      <c r="T50" s="260"/>
      <c r="U50" s="262" t="s">
        <v>24</v>
      </c>
    </row>
    <row r="51">
      <c r="A51" s="32"/>
      <c r="B51" s="32"/>
      <c r="C51" s="93" t="s">
        <v>141</v>
      </c>
      <c r="D51" s="10"/>
      <c r="E51" s="10"/>
      <c r="F51" s="17"/>
      <c r="G51" s="248"/>
      <c r="H51" s="258"/>
      <c r="I51" s="262"/>
      <c r="J51" s="248"/>
      <c r="K51" s="305" t="s">
        <v>490</v>
      </c>
      <c r="L51" s="262"/>
      <c r="M51" s="248"/>
      <c r="N51" s="260"/>
      <c r="O51" s="262" t="s">
        <v>24</v>
      </c>
      <c r="P51" s="248"/>
      <c r="Q51" s="260"/>
      <c r="R51" s="262" t="s">
        <v>24</v>
      </c>
      <c r="S51" s="248"/>
      <c r="T51" s="260"/>
      <c r="U51" s="262" t="s">
        <v>24</v>
      </c>
    </row>
    <row r="52">
      <c r="A52" s="32"/>
      <c r="B52" s="32"/>
      <c r="C52" s="106" t="s">
        <v>181</v>
      </c>
      <c r="D52" s="10"/>
      <c r="E52" s="10"/>
      <c r="F52" s="213" t="s">
        <v>182</v>
      </c>
      <c r="G52" s="248"/>
      <c r="H52" s="260"/>
      <c r="I52" s="274"/>
      <c r="J52" s="248"/>
      <c r="K52" s="260"/>
      <c r="L52" s="274"/>
      <c r="M52" s="248"/>
      <c r="N52" s="260"/>
      <c r="O52" s="274" t="s">
        <v>24</v>
      </c>
      <c r="P52" s="248"/>
      <c r="Q52" s="260"/>
      <c r="R52" s="274" t="s">
        <v>511</v>
      </c>
      <c r="S52" s="248"/>
      <c r="T52" s="260"/>
      <c r="U52" s="284" t="s">
        <v>511</v>
      </c>
    </row>
    <row r="53">
      <c r="A53" s="32"/>
      <c r="B53" s="32"/>
      <c r="C53" s="93" t="s">
        <v>183</v>
      </c>
      <c r="D53" s="10"/>
      <c r="E53" s="10"/>
      <c r="F53" s="17"/>
      <c r="G53" s="248"/>
      <c r="H53" s="260"/>
      <c r="I53" s="262"/>
      <c r="J53" s="248"/>
      <c r="K53" s="260"/>
      <c r="L53" s="262"/>
      <c r="M53" s="248"/>
      <c r="N53" s="260"/>
      <c r="O53" s="262" t="s">
        <v>24</v>
      </c>
      <c r="P53" s="248"/>
      <c r="Q53" s="260"/>
      <c r="R53" s="262" t="s">
        <v>24</v>
      </c>
      <c r="S53" s="248"/>
      <c r="T53" s="260"/>
      <c r="U53" s="262" t="s">
        <v>24</v>
      </c>
    </row>
    <row r="54">
      <c r="A54" s="32"/>
      <c r="B54" s="32"/>
      <c r="C54" s="93" t="s">
        <v>184</v>
      </c>
      <c r="D54" s="10"/>
      <c r="E54" s="10"/>
      <c r="F54" s="17"/>
      <c r="G54" s="248"/>
      <c r="H54" s="260"/>
      <c r="I54" s="262"/>
      <c r="J54" s="248"/>
      <c r="K54" s="260"/>
      <c r="L54" s="262"/>
      <c r="M54" s="248"/>
      <c r="N54" s="260"/>
      <c r="O54" s="262" t="s">
        <v>24</v>
      </c>
      <c r="P54" s="248"/>
      <c r="Q54" s="260"/>
      <c r="R54" s="262" t="s">
        <v>24</v>
      </c>
      <c r="S54" s="248"/>
      <c r="T54" s="260"/>
      <c r="U54" s="262" t="s">
        <v>24</v>
      </c>
    </row>
    <row r="55">
      <c r="A55" s="32"/>
      <c r="B55" s="32"/>
      <c r="C55" s="93" t="s">
        <v>512</v>
      </c>
      <c r="D55" s="10"/>
      <c r="E55" s="10"/>
      <c r="F55" s="213" t="s">
        <v>186</v>
      </c>
      <c r="G55" s="248"/>
      <c r="H55" s="260"/>
      <c r="I55" s="262"/>
      <c r="J55" s="248"/>
      <c r="K55" s="260"/>
      <c r="L55" s="262"/>
      <c r="M55" s="248"/>
      <c r="N55" s="260"/>
      <c r="O55" s="262" t="s">
        <v>24</v>
      </c>
      <c r="P55" s="248"/>
      <c r="Q55" s="260"/>
      <c r="R55" s="262" t="s">
        <v>24</v>
      </c>
      <c r="S55" s="248"/>
      <c r="T55" s="260"/>
      <c r="U55" s="262" t="s">
        <v>24</v>
      </c>
    </row>
    <row r="56">
      <c r="A56" s="32"/>
      <c r="B56" s="32"/>
      <c r="C56" s="87" t="s">
        <v>187</v>
      </c>
      <c r="D56" s="10"/>
      <c r="E56" s="10"/>
      <c r="F56" s="17"/>
      <c r="G56" s="248"/>
      <c r="H56" s="260"/>
      <c r="I56" s="262"/>
      <c r="J56" s="248"/>
      <c r="K56" s="260"/>
      <c r="L56" s="262"/>
      <c r="M56" s="248"/>
      <c r="N56" s="260"/>
      <c r="O56" s="262" t="s">
        <v>24</v>
      </c>
      <c r="P56" s="248"/>
      <c r="Q56" s="260"/>
      <c r="R56" s="262" t="s">
        <v>24</v>
      </c>
      <c r="S56" s="248"/>
      <c r="T56" s="260"/>
      <c r="U56" s="262" t="s">
        <v>24</v>
      </c>
    </row>
    <row r="57">
      <c r="A57" s="32"/>
      <c r="B57" s="32"/>
      <c r="C57" s="77" t="s">
        <v>190</v>
      </c>
      <c r="D57" s="10"/>
      <c r="E57" s="10"/>
      <c r="F57" s="17"/>
      <c r="G57" s="248"/>
      <c r="H57" s="310"/>
      <c r="I57" s="274"/>
      <c r="J57" s="248"/>
      <c r="K57" s="322" t="s">
        <v>513</v>
      </c>
      <c r="L57" s="274"/>
      <c r="M57" s="248"/>
      <c r="N57" s="260"/>
      <c r="O57" s="274" t="s">
        <v>24</v>
      </c>
      <c r="P57" s="248"/>
      <c r="Q57" s="260"/>
      <c r="R57" s="274" t="s">
        <v>514</v>
      </c>
      <c r="S57" s="248"/>
      <c r="T57" s="260"/>
      <c r="U57" s="284" t="s">
        <v>514</v>
      </c>
    </row>
    <row r="58">
      <c r="A58" s="32"/>
      <c r="B58" s="32"/>
      <c r="C58" s="106" t="s">
        <v>425</v>
      </c>
      <c r="D58" s="10"/>
      <c r="E58" s="10"/>
      <c r="F58" s="213" t="s">
        <v>192</v>
      </c>
      <c r="G58" s="248"/>
      <c r="H58" s="260"/>
      <c r="I58" s="262"/>
      <c r="J58" s="248"/>
      <c r="K58" s="260"/>
      <c r="L58" s="262"/>
      <c r="M58" s="248"/>
      <c r="N58" s="260"/>
      <c r="O58" s="262" t="s">
        <v>24</v>
      </c>
      <c r="P58" s="248"/>
      <c r="Q58" s="260"/>
      <c r="R58" s="262" t="s">
        <v>24</v>
      </c>
      <c r="S58" s="248"/>
      <c r="T58" s="260"/>
      <c r="U58" s="262" t="s">
        <v>24</v>
      </c>
    </row>
    <row r="59">
      <c r="A59" s="32"/>
      <c r="B59" s="32"/>
      <c r="C59" s="106" t="s">
        <v>193</v>
      </c>
      <c r="D59" s="10"/>
      <c r="E59" s="10"/>
      <c r="F59" s="17"/>
      <c r="G59" s="248"/>
      <c r="H59" s="260"/>
      <c r="I59" s="262"/>
      <c r="J59" s="248"/>
      <c r="K59" s="260"/>
      <c r="L59" s="262"/>
      <c r="M59" s="248"/>
      <c r="N59" s="260"/>
      <c r="O59" s="262" t="s">
        <v>24</v>
      </c>
      <c r="P59" s="248"/>
      <c r="Q59" s="260"/>
      <c r="R59" s="262" t="s">
        <v>24</v>
      </c>
      <c r="S59" s="248"/>
      <c r="T59" s="260"/>
      <c r="U59" s="262" t="s">
        <v>24</v>
      </c>
    </row>
    <row r="60">
      <c r="A60" s="32"/>
      <c r="B60" s="32"/>
      <c r="C60" s="93" t="s">
        <v>194</v>
      </c>
      <c r="D60" s="10"/>
      <c r="E60" s="10"/>
      <c r="F60" s="17"/>
      <c r="G60" s="248"/>
      <c r="H60" s="260"/>
      <c r="I60" s="262"/>
      <c r="J60" s="248"/>
      <c r="K60" s="260"/>
      <c r="L60" s="262"/>
      <c r="M60" s="248"/>
      <c r="N60" s="260"/>
      <c r="O60" s="262" t="s">
        <v>24</v>
      </c>
      <c r="P60" s="248"/>
      <c r="Q60" s="260"/>
      <c r="R60" s="262" t="s">
        <v>24</v>
      </c>
      <c r="S60" s="248"/>
      <c r="T60" s="260"/>
      <c r="U60" s="262" t="s">
        <v>24</v>
      </c>
    </row>
    <row r="61">
      <c r="A61" s="32"/>
      <c r="B61" s="32"/>
      <c r="C61" s="103" t="s">
        <v>195</v>
      </c>
      <c r="D61" s="10"/>
      <c r="E61" s="10"/>
      <c r="F61" s="213" t="s">
        <v>196</v>
      </c>
      <c r="G61" s="248"/>
      <c r="H61" s="260"/>
      <c r="I61" s="262"/>
      <c r="J61" s="248"/>
      <c r="K61" s="260"/>
      <c r="L61" s="262"/>
      <c r="M61" s="248"/>
      <c r="N61" s="260"/>
      <c r="O61" s="262"/>
      <c r="P61" s="248"/>
      <c r="Q61" s="260"/>
      <c r="R61" s="262"/>
      <c r="S61" s="248"/>
      <c r="T61" s="260"/>
      <c r="U61" s="262" t="s">
        <v>24</v>
      </c>
    </row>
    <row r="62">
      <c r="A62" s="32"/>
      <c r="B62" s="32"/>
      <c r="C62" s="93" t="s">
        <v>197</v>
      </c>
      <c r="D62" s="10"/>
      <c r="E62" s="10"/>
      <c r="F62" s="213" t="s">
        <v>196</v>
      </c>
      <c r="G62" s="248"/>
      <c r="H62" s="260"/>
      <c r="I62" s="262"/>
      <c r="J62" s="248"/>
      <c r="K62" s="260"/>
      <c r="L62" s="262"/>
      <c r="M62" s="248"/>
      <c r="N62" s="260"/>
      <c r="O62" s="262"/>
      <c r="P62" s="248"/>
      <c r="Q62" s="260"/>
      <c r="R62" s="262" t="s">
        <v>24</v>
      </c>
      <c r="S62" s="248"/>
      <c r="T62" s="260"/>
      <c r="U62" s="262" t="s">
        <v>24</v>
      </c>
    </row>
    <row r="63">
      <c r="A63" s="32"/>
      <c r="B63" s="32"/>
      <c r="C63" s="93" t="s">
        <v>198</v>
      </c>
      <c r="D63" s="10"/>
      <c r="E63" s="10"/>
      <c r="F63" s="213" t="s">
        <v>196</v>
      </c>
      <c r="G63" s="248"/>
      <c r="H63" s="260"/>
      <c r="I63" s="262"/>
      <c r="J63" s="248"/>
      <c r="K63" s="260"/>
      <c r="L63" s="262"/>
      <c r="M63" s="248"/>
      <c r="N63" s="260"/>
      <c r="O63" s="262"/>
      <c r="P63" s="248"/>
      <c r="Q63" s="260"/>
      <c r="R63" s="262"/>
      <c r="S63" s="248"/>
      <c r="T63" s="260"/>
      <c r="U63" s="262"/>
    </row>
    <row r="64">
      <c r="A64" s="32"/>
      <c r="B64" s="32"/>
      <c r="C64" s="106" t="s">
        <v>201</v>
      </c>
      <c r="D64" s="10"/>
      <c r="E64" s="10"/>
      <c r="F64" s="213" t="s">
        <v>202</v>
      </c>
      <c r="G64" s="248"/>
      <c r="H64" s="260"/>
      <c r="I64" s="262"/>
      <c r="J64" s="248"/>
      <c r="K64" s="260"/>
      <c r="L64" s="262"/>
      <c r="M64" s="248"/>
      <c r="N64" s="260"/>
      <c r="O64" s="262"/>
      <c r="P64" s="248"/>
      <c r="Q64" s="260"/>
      <c r="R64" s="262"/>
      <c r="S64" s="248"/>
      <c r="T64" s="260"/>
      <c r="U64" s="262"/>
    </row>
    <row r="65">
      <c r="A65" s="32"/>
      <c r="B65" s="32"/>
      <c r="C65" s="119" t="s">
        <v>203</v>
      </c>
      <c r="D65" s="10"/>
      <c r="E65" s="10"/>
      <c r="F65" s="213" t="s">
        <v>124</v>
      </c>
      <c r="G65" s="248"/>
      <c r="H65" s="292"/>
      <c r="I65" s="303"/>
      <c r="J65" s="248"/>
      <c r="K65" s="308" t="s">
        <v>515</v>
      </c>
      <c r="L65" s="303"/>
      <c r="M65" s="248"/>
      <c r="N65" s="323"/>
      <c r="O65" s="303"/>
      <c r="P65" s="248"/>
      <c r="Q65" s="323"/>
      <c r="R65" s="303" t="s">
        <v>24</v>
      </c>
      <c r="S65" s="248"/>
      <c r="T65" s="323"/>
      <c r="U65" s="324" t="s">
        <v>516</v>
      </c>
    </row>
    <row r="66">
      <c r="A66" s="32"/>
      <c r="B66" s="32"/>
      <c r="C66" s="120" t="s">
        <v>316</v>
      </c>
      <c r="D66" s="10"/>
      <c r="E66" s="10"/>
      <c r="F66" s="213" t="s">
        <v>124</v>
      </c>
      <c r="G66" s="248"/>
      <c r="H66" s="259"/>
      <c r="I66" s="262"/>
      <c r="J66" s="248"/>
      <c r="K66" s="259"/>
      <c r="L66" s="262"/>
      <c r="M66" s="248"/>
      <c r="N66" s="259"/>
      <c r="O66" s="262"/>
      <c r="P66" s="248"/>
      <c r="Q66" s="259"/>
      <c r="R66" s="262"/>
      <c r="S66" s="248"/>
      <c r="T66" s="259"/>
      <c r="U66" s="262" t="s">
        <v>24</v>
      </c>
    </row>
    <row r="67">
      <c r="A67" s="32"/>
      <c r="B67" s="32"/>
      <c r="C67" s="121" t="s">
        <v>205</v>
      </c>
      <c r="D67" s="245" t="s">
        <v>206</v>
      </c>
      <c r="E67" s="10"/>
      <c r="F67" s="213" t="s">
        <v>207</v>
      </c>
      <c r="G67" s="248"/>
      <c r="H67" s="260"/>
      <c r="I67" s="262"/>
      <c r="J67" s="248"/>
      <c r="K67" s="260"/>
      <c r="L67" s="262"/>
      <c r="M67" s="248"/>
      <c r="N67" s="260"/>
      <c r="O67" s="262"/>
      <c r="P67" s="248"/>
      <c r="Q67" s="260"/>
      <c r="R67" s="262"/>
      <c r="S67" s="248"/>
      <c r="T67" s="260"/>
      <c r="U67" s="262" t="s">
        <v>24</v>
      </c>
    </row>
    <row r="68">
      <c r="A68" s="32"/>
      <c r="B68" s="37"/>
      <c r="C68" s="93" t="s">
        <v>492</v>
      </c>
      <c r="D68" s="10"/>
      <c r="E68" s="10"/>
      <c r="F68" s="213" t="s">
        <v>493</v>
      </c>
      <c r="G68" s="248"/>
      <c r="H68" s="260"/>
      <c r="I68" s="262"/>
      <c r="J68" s="248"/>
      <c r="K68" s="260"/>
      <c r="L68" s="262"/>
      <c r="M68" s="248"/>
      <c r="N68" s="260"/>
      <c r="O68" s="262" t="s">
        <v>517</v>
      </c>
      <c r="P68" s="248"/>
      <c r="Q68" s="260"/>
      <c r="R68" s="262" t="s">
        <v>517</v>
      </c>
      <c r="S68" s="248"/>
      <c r="T68" s="260"/>
      <c r="U68" s="262" t="s">
        <v>517</v>
      </c>
    </row>
    <row r="69">
      <c r="A69" s="32"/>
      <c r="B69" s="102" t="s">
        <v>208</v>
      </c>
      <c r="C69" s="106" t="s">
        <v>209</v>
      </c>
      <c r="D69" s="10"/>
      <c r="E69" s="10"/>
      <c r="F69" s="17"/>
      <c r="G69" s="248"/>
      <c r="H69" s="260"/>
      <c r="I69" s="262"/>
      <c r="J69" s="248"/>
      <c r="K69" s="260"/>
      <c r="L69" s="262"/>
      <c r="M69" s="248"/>
      <c r="N69" s="260"/>
      <c r="O69" s="262" t="s">
        <v>24</v>
      </c>
      <c r="P69" s="248"/>
      <c r="Q69" s="260"/>
      <c r="R69" s="262" t="s">
        <v>24</v>
      </c>
      <c r="S69" s="248"/>
      <c r="T69" s="260"/>
      <c r="U69" s="262" t="s">
        <v>24</v>
      </c>
    </row>
    <row r="70">
      <c r="A70" s="32"/>
      <c r="B70" s="32"/>
      <c r="C70" s="123" t="s">
        <v>210</v>
      </c>
      <c r="D70" s="10"/>
      <c r="E70" s="10"/>
      <c r="F70" s="213" t="s">
        <v>211</v>
      </c>
      <c r="G70" s="248"/>
      <c r="H70" s="260"/>
      <c r="I70" s="262"/>
      <c r="J70" s="248"/>
      <c r="K70" s="260"/>
      <c r="L70" s="262"/>
      <c r="M70" s="248"/>
      <c r="N70" s="260"/>
      <c r="O70" s="262" t="s">
        <v>24</v>
      </c>
      <c r="P70" s="248"/>
      <c r="Q70" s="260"/>
      <c r="R70" s="262" t="s">
        <v>24</v>
      </c>
      <c r="S70" s="248"/>
      <c r="T70" s="260"/>
      <c r="U70" s="262" t="s">
        <v>24</v>
      </c>
    </row>
    <row r="71">
      <c r="A71" s="32"/>
      <c r="B71" s="32"/>
      <c r="C71" s="124" t="s">
        <v>212</v>
      </c>
      <c r="D71" s="10"/>
      <c r="E71" s="10"/>
      <c r="F71" s="17"/>
      <c r="G71" s="248"/>
      <c r="H71" s="260"/>
      <c r="I71" s="262"/>
      <c r="J71" s="248"/>
      <c r="K71" s="260"/>
      <c r="L71" s="262"/>
      <c r="M71" s="248"/>
      <c r="N71" s="260"/>
      <c r="O71" s="262" t="s">
        <v>24</v>
      </c>
      <c r="P71" s="248"/>
      <c r="Q71" s="260"/>
      <c r="R71" s="262" t="s">
        <v>24</v>
      </c>
      <c r="S71" s="248"/>
      <c r="T71" s="260"/>
      <c r="U71" s="262" t="s">
        <v>24</v>
      </c>
    </row>
    <row r="72">
      <c r="A72" s="32"/>
      <c r="B72" s="32"/>
      <c r="C72" s="125" t="s">
        <v>213</v>
      </c>
      <c r="D72" s="10"/>
      <c r="E72" s="10"/>
      <c r="F72" s="17"/>
      <c r="G72" s="248"/>
      <c r="H72" s="260"/>
      <c r="I72" s="262"/>
      <c r="J72" s="248"/>
      <c r="K72" s="260"/>
      <c r="L72" s="262"/>
      <c r="M72" s="248"/>
      <c r="N72" s="260"/>
      <c r="O72" s="262"/>
      <c r="P72" s="248"/>
      <c r="Q72" s="260"/>
      <c r="R72" s="262" t="s">
        <v>24</v>
      </c>
      <c r="S72" s="248"/>
      <c r="T72" s="260"/>
      <c r="U72" s="262" t="s">
        <v>24</v>
      </c>
    </row>
    <row r="73">
      <c r="A73" s="32"/>
      <c r="B73" s="37"/>
      <c r="C73" s="124" t="s">
        <v>214</v>
      </c>
      <c r="D73" s="10"/>
      <c r="E73" s="10"/>
      <c r="F73" s="17"/>
      <c r="G73" s="248"/>
      <c r="H73" s="260"/>
      <c r="I73" s="262"/>
      <c r="J73" s="248"/>
      <c r="K73" s="260"/>
      <c r="L73" s="262"/>
      <c r="M73" s="248"/>
      <c r="N73" s="260"/>
      <c r="O73" s="262"/>
      <c r="P73" s="248"/>
      <c r="Q73" s="260"/>
      <c r="R73" s="262" t="s">
        <v>24</v>
      </c>
      <c r="S73" s="248"/>
      <c r="T73" s="260"/>
      <c r="U73" s="262" t="s">
        <v>24</v>
      </c>
    </row>
    <row r="74">
      <c r="A74" s="32"/>
      <c r="B74" s="115" t="s">
        <v>217</v>
      </c>
      <c r="C74" s="124" t="s">
        <v>218</v>
      </c>
      <c r="D74" s="10"/>
      <c r="E74" s="10"/>
      <c r="F74" s="17"/>
      <c r="G74" s="248"/>
      <c r="H74" s="260"/>
      <c r="I74" s="262"/>
      <c r="J74" s="248"/>
      <c r="K74" s="260"/>
      <c r="L74" s="262"/>
      <c r="M74" s="248"/>
      <c r="N74" s="260"/>
      <c r="O74" s="262"/>
      <c r="P74" s="248"/>
      <c r="Q74" s="260"/>
      <c r="R74" s="262" t="s">
        <v>24</v>
      </c>
      <c r="S74" s="248"/>
      <c r="T74" s="260"/>
      <c r="U74" s="262" t="s">
        <v>24</v>
      </c>
    </row>
    <row r="75">
      <c r="A75" s="32"/>
      <c r="B75" s="32"/>
      <c r="C75" s="124" t="s">
        <v>220</v>
      </c>
      <c r="D75" s="10"/>
      <c r="E75" s="10"/>
      <c r="F75" s="17"/>
      <c r="G75" s="248"/>
      <c r="H75" s="258"/>
      <c r="I75" s="262"/>
      <c r="J75" s="248"/>
      <c r="K75" s="289" t="s">
        <v>518</v>
      </c>
      <c r="L75" s="262"/>
      <c r="M75" s="248"/>
      <c r="N75" s="260"/>
      <c r="O75" s="262"/>
      <c r="P75" s="248"/>
      <c r="Q75" s="260"/>
      <c r="R75" s="262" t="s">
        <v>24</v>
      </c>
      <c r="S75" s="248"/>
      <c r="T75" s="260"/>
      <c r="U75" s="262" t="s">
        <v>24</v>
      </c>
    </row>
    <row r="76">
      <c r="A76" s="32"/>
      <c r="B76" s="32"/>
      <c r="C76" s="129" t="s">
        <v>474</v>
      </c>
      <c r="D76" s="10"/>
      <c r="E76" s="10"/>
      <c r="F76" s="213" t="s">
        <v>222</v>
      </c>
      <c r="G76" s="248"/>
      <c r="H76" s="260"/>
      <c r="I76" s="262"/>
      <c r="J76" s="248"/>
      <c r="K76" s="260"/>
      <c r="L76" s="262"/>
      <c r="M76" s="248"/>
      <c r="N76" s="260"/>
      <c r="O76" s="262"/>
      <c r="P76" s="248"/>
      <c r="Q76" s="260"/>
      <c r="R76" s="262" t="s">
        <v>24</v>
      </c>
      <c r="S76" s="248"/>
      <c r="T76" s="260"/>
      <c r="U76" s="262" t="s">
        <v>24</v>
      </c>
    </row>
    <row r="77">
      <c r="A77" s="32"/>
      <c r="B77" s="37"/>
      <c r="C77" s="124" t="s">
        <v>223</v>
      </c>
      <c r="D77" s="10"/>
      <c r="E77" s="10"/>
      <c r="F77" s="213" t="s">
        <v>224</v>
      </c>
      <c r="G77" s="248"/>
      <c r="H77" s="260"/>
      <c r="I77" s="262"/>
      <c r="J77" s="248"/>
      <c r="K77" s="260"/>
      <c r="L77" s="262"/>
      <c r="M77" s="248"/>
      <c r="N77" s="260"/>
      <c r="O77" s="262"/>
      <c r="P77" s="248"/>
      <c r="Q77" s="260"/>
      <c r="R77" s="262" t="s">
        <v>24</v>
      </c>
      <c r="S77" s="248"/>
      <c r="T77" s="260"/>
      <c r="U77" s="262" t="s">
        <v>24</v>
      </c>
    </row>
    <row r="78">
      <c r="A78" s="32"/>
      <c r="B78" s="102" t="s">
        <v>244</v>
      </c>
      <c r="C78" s="106" t="s">
        <v>245</v>
      </c>
      <c r="D78" s="10"/>
      <c r="E78" s="245" t="s">
        <v>248</v>
      </c>
      <c r="F78" s="237" t="s">
        <v>411</v>
      </c>
      <c r="G78" s="248"/>
      <c r="H78" s="260"/>
      <c r="I78" s="262"/>
      <c r="J78" s="248"/>
      <c r="K78" s="260"/>
      <c r="L78" s="262"/>
      <c r="M78" s="248"/>
      <c r="N78" s="260"/>
      <c r="O78" s="262" t="s">
        <v>24</v>
      </c>
      <c r="P78" s="248"/>
      <c r="Q78" s="260"/>
      <c r="R78" s="262" t="s">
        <v>24</v>
      </c>
      <c r="S78" s="248"/>
      <c r="T78" s="260"/>
      <c r="U78" s="262" t="s">
        <v>24</v>
      </c>
    </row>
    <row r="79">
      <c r="A79" s="32"/>
      <c r="B79" s="32"/>
      <c r="C79" s="123" t="s">
        <v>247</v>
      </c>
      <c r="D79" s="10"/>
      <c r="E79" s="245" t="s">
        <v>248</v>
      </c>
      <c r="F79" s="213" t="s">
        <v>207</v>
      </c>
      <c r="G79" s="248"/>
      <c r="H79" s="260"/>
      <c r="I79" s="262"/>
      <c r="J79" s="248"/>
      <c r="K79" s="260"/>
      <c r="L79" s="262"/>
      <c r="M79" s="248"/>
      <c r="N79" s="260"/>
      <c r="O79" s="262"/>
      <c r="P79" s="248"/>
      <c r="Q79" s="260"/>
      <c r="R79" s="262" t="s">
        <v>24</v>
      </c>
      <c r="S79" s="248"/>
      <c r="T79" s="260"/>
      <c r="U79" s="262" t="s">
        <v>24</v>
      </c>
    </row>
    <row r="80">
      <c r="A80" s="32"/>
      <c r="B80" s="32"/>
      <c r="C80" s="123" t="s">
        <v>249</v>
      </c>
      <c r="D80" s="10"/>
      <c r="E80" s="10"/>
      <c r="F80" s="213" t="s">
        <v>250</v>
      </c>
      <c r="G80" s="248"/>
      <c r="H80" s="260"/>
      <c r="I80" s="262"/>
      <c r="J80" s="248"/>
      <c r="K80" s="260"/>
      <c r="L80" s="262"/>
      <c r="M80" s="248"/>
      <c r="N80" s="260"/>
      <c r="O80" s="262"/>
      <c r="P80" s="248"/>
      <c r="Q80" s="260"/>
      <c r="R80" s="262"/>
      <c r="S80" s="248"/>
      <c r="T80" s="260"/>
      <c r="U80" s="262" t="s">
        <v>24</v>
      </c>
    </row>
    <row r="81">
      <c r="A81" s="32"/>
      <c r="B81" s="32"/>
      <c r="C81" s="103" t="s">
        <v>251</v>
      </c>
      <c r="D81" s="10"/>
      <c r="E81" s="10"/>
      <c r="F81" s="213" t="s">
        <v>252</v>
      </c>
      <c r="G81" s="248"/>
      <c r="H81" s="260"/>
      <c r="I81" s="274"/>
      <c r="J81" s="248"/>
      <c r="K81" s="260"/>
      <c r="L81" s="274"/>
      <c r="M81" s="248"/>
      <c r="N81" s="260"/>
      <c r="O81" s="274" t="s">
        <v>519</v>
      </c>
      <c r="P81" s="248"/>
      <c r="Q81" s="260"/>
      <c r="R81" s="274" t="s">
        <v>519</v>
      </c>
      <c r="S81" s="248"/>
      <c r="T81" s="260"/>
      <c r="U81" s="284" t="s">
        <v>519</v>
      </c>
    </row>
    <row r="82">
      <c r="A82" s="32"/>
      <c r="B82" s="32"/>
      <c r="C82" s="106" t="s">
        <v>253</v>
      </c>
      <c r="D82" s="10"/>
      <c r="E82" s="10"/>
      <c r="F82" s="213" t="s">
        <v>254</v>
      </c>
      <c r="G82" s="248"/>
      <c r="H82" s="260"/>
      <c r="I82" s="262"/>
      <c r="J82" s="248"/>
      <c r="K82" s="260"/>
      <c r="L82" s="262"/>
      <c r="M82" s="248"/>
      <c r="N82" s="260"/>
      <c r="O82" s="262" t="s">
        <v>24</v>
      </c>
      <c r="P82" s="248"/>
      <c r="Q82" s="260"/>
      <c r="R82" s="262"/>
      <c r="S82" s="248"/>
      <c r="T82" s="260"/>
      <c r="U82" s="262" t="s">
        <v>24</v>
      </c>
    </row>
    <row r="83">
      <c r="A83" s="32"/>
      <c r="B83" s="32"/>
      <c r="C83" s="106" t="s">
        <v>255</v>
      </c>
      <c r="D83" s="10"/>
      <c r="E83" s="10"/>
      <c r="F83" s="213" t="s">
        <v>256</v>
      </c>
      <c r="G83" s="248"/>
      <c r="H83" s="260"/>
      <c r="I83" s="262"/>
      <c r="J83" s="248"/>
      <c r="K83" s="260"/>
      <c r="L83" s="262"/>
      <c r="M83" s="248"/>
      <c r="N83" s="260"/>
      <c r="O83" s="262" t="s">
        <v>24</v>
      </c>
      <c r="P83" s="248"/>
      <c r="Q83" s="260"/>
      <c r="R83" s="262" t="s">
        <v>24</v>
      </c>
      <c r="S83" s="248"/>
      <c r="T83" s="260"/>
      <c r="U83" s="262" t="s">
        <v>24</v>
      </c>
    </row>
    <row r="84">
      <c r="A84" s="32"/>
      <c r="B84" s="32"/>
      <c r="C84" s="93" t="s">
        <v>257</v>
      </c>
      <c r="D84" s="10"/>
      <c r="E84" s="10"/>
      <c r="F84" s="17"/>
      <c r="G84" s="248"/>
      <c r="H84" s="260"/>
      <c r="I84" s="262"/>
      <c r="J84" s="248"/>
      <c r="K84" s="260"/>
      <c r="L84" s="262"/>
      <c r="M84" s="248"/>
      <c r="N84" s="260"/>
      <c r="O84" s="262" t="s">
        <v>24</v>
      </c>
      <c r="P84" s="248"/>
      <c r="Q84" s="260"/>
      <c r="R84" s="262" t="s">
        <v>24</v>
      </c>
      <c r="S84" s="248"/>
      <c r="T84" s="260"/>
      <c r="U84" s="262" t="s">
        <v>24</v>
      </c>
    </row>
    <row r="85">
      <c r="A85" s="32"/>
      <c r="B85" s="32"/>
      <c r="C85" s="93" t="s">
        <v>258</v>
      </c>
      <c r="D85" s="10"/>
      <c r="E85" s="10"/>
      <c r="F85" s="213" t="s">
        <v>259</v>
      </c>
      <c r="G85" s="248"/>
      <c r="H85" s="260"/>
      <c r="I85" s="274"/>
      <c r="J85" s="248"/>
      <c r="K85" s="260"/>
      <c r="L85" s="274"/>
      <c r="M85" s="248"/>
      <c r="N85" s="260"/>
      <c r="O85" s="274" t="s">
        <v>24</v>
      </c>
      <c r="P85" s="248"/>
      <c r="Q85" s="260"/>
      <c r="R85" s="274"/>
      <c r="S85" s="248"/>
      <c r="T85" s="260"/>
      <c r="U85" s="320" t="s">
        <v>520</v>
      </c>
    </row>
    <row r="86">
      <c r="A86" s="37"/>
      <c r="B86" s="37"/>
      <c r="C86" s="103" t="s">
        <v>521</v>
      </c>
      <c r="D86" s="10"/>
      <c r="E86" s="10"/>
      <c r="F86" s="17"/>
      <c r="G86" s="248"/>
      <c r="H86" s="260"/>
      <c r="I86" s="262"/>
      <c r="J86" s="248"/>
      <c r="K86" s="260"/>
      <c r="L86" s="262"/>
      <c r="M86" s="248"/>
      <c r="N86" s="260"/>
      <c r="O86" s="262" t="s">
        <v>24</v>
      </c>
      <c r="P86" s="248"/>
      <c r="Q86" s="260"/>
      <c r="R86" s="262" t="s">
        <v>24</v>
      </c>
      <c r="S86" s="248"/>
      <c r="T86" s="260"/>
      <c r="U86" s="262" t="s">
        <v>24</v>
      </c>
    </row>
    <row r="87">
      <c r="A87" s="154"/>
      <c r="B87" s="154"/>
      <c r="C87" s="142" t="s">
        <v>421</v>
      </c>
      <c r="E87" s="245" t="s">
        <v>96</v>
      </c>
      <c r="F87" s="240"/>
      <c r="G87" s="248"/>
      <c r="H87" s="260"/>
      <c r="I87" s="262"/>
      <c r="J87" s="248"/>
      <c r="K87" s="260"/>
      <c r="L87" s="262"/>
      <c r="M87" s="248"/>
      <c r="N87" s="260"/>
      <c r="O87" s="262" t="s">
        <v>24</v>
      </c>
      <c r="P87" s="248"/>
      <c r="Q87" s="260"/>
      <c r="R87" s="262"/>
      <c r="S87" s="248"/>
      <c r="T87" s="260"/>
      <c r="U87" s="262" t="s">
        <v>24</v>
      </c>
    </row>
    <row r="88">
      <c r="A88" s="154"/>
      <c r="B88" s="154"/>
      <c r="C88" s="142" t="s">
        <v>265</v>
      </c>
      <c r="D88" s="10"/>
      <c r="E88" s="245" t="s">
        <v>266</v>
      </c>
      <c r="F88" s="240"/>
      <c r="G88" s="248"/>
      <c r="H88" s="260"/>
      <c r="I88" s="262"/>
      <c r="J88" s="248"/>
      <c r="K88" s="260"/>
      <c r="L88" s="262"/>
      <c r="M88" s="248"/>
      <c r="N88" s="260"/>
      <c r="O88" s="262" t="s">
        <v>24</v>
      </c>
      <c r="P88" s="248"/>
      <c r="Q88" s="260"/>
      <c r="R88" s="262"/>
      <c r="S88" s="248"/>
      <c r="T88" s="260"/>
      <c r="U88" s="262" t="s">
        <v>24</v>
      </c>
    </row>
    <row r="89">
      <c r="A89" s="154"/>
      <c r="B89" s="154">
        <v>89.0</v>
      </c>
      <c r="C89" s="154" t="s">
        <v>475</v>
      </c>
      <c r="D89" s="154"/>
      <c r="E89" s="154"/>
      <c r="F89" s="142" t="s">
        <v>276</v>
      </c>
      <c r="G89" s="200">
        <v>49.0</v>
      </c>
      <c r="H89" s="200">
        <v>0.0</v>
      </c>
      <c r="I89" s="200">
        <v>0.0</v>
      </c>
      <c r="J89" s="200">
        <v>0.0</v>
      </c>
      <c r="K89" s="200">
        <v>49.0</v>
      </c>
      <c r="L89" s="200">
        <v>0.0</v>
      </c>
      <c r="M89" s="200">
        <v>0.0</v>
      </c>
      <c r="N89" s="200">
        <v>0.0</v>
      </c>
      <c r="O89" s="200">
        <v>75.0</v>
      </c>
      <c r="P89" s="200">
        <v>0.0</v>
      </c>
      <c r="Q89" s="200">
        <v>0.0</v>
      </c>
      <c r="R89" s="200">
        <v>84.0</v>
      </c>
      <c r="S89" s="200">
        <v>0.0</v>
      </c>
      <c r="T89" s="200">
        <v>0.0</v>
      </c>
      <c r="U89" s="200">
        <v>98.0</v>
      </c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>
      <c r="A94" s="79" t="s">
        <v>522</v>
      </c>
      <c r="B94" s="152"/>
      <c r="C94" s="152"/>
      <c r="D94" s="153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>
      <c r="A95" s="154"/>
      <c r="B95" s="155" t="s">
        <v>5</v>
      </c>
      <c r="C95" s="155" t="s">
        <v>277</v>
      </c>
      <c r="D95" s="155" t="s">
        <v>7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>
      <c r="A96" s="155" t="s">
        <v>278</v>
      </c>
      <c r="B96" s="154">
        <v>35.0</v>
      </c>
      <c r="C96" s="154">
        <v>0.0</v>
      </c>
      <c r="D96" s="154">
        <v>0.0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>
      <c r="A97" s="155" t="s">
        <v>279</v>
      </c>
      <c r="B97" s="154">
        <v>4.0</v>
      </c>
      <c r="C97" s="154">
        <v>0.0</v>
      </c>
      <c r="D97" s="154">
        <v>0.0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>
      <c r="A98" s="155" t="s">
        <v>280</v>
      </c>
      <c r="B98" s="154">
        <v>0.0</v>
      </c>
      <c r="C98" s="154">
        <v>0.0</v>
      </c>
      <c r="D98" s="154">
        <v>0.0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>
      <c r="A99" s="155" t="s">
        <v>281</v>
      </c>
      <c r="B99" s="154">
        <v>40.0</v>
      </c>
      <c r="C99" s="154">
        <v>0.0</v>
      </c>
      <c r="D99" s="154">
        <v>0.0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>
      <c r="A102" s="156" t="s">
        <v>282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>
      <c r="A103" s="157" t="s">
        <v>8</v>
      </c>
      <c r="B103" s="158"/>
      <c r="C103" s="158"/>
      <c r="D103" s="158"/>
      <c r="E103" s="157" t="s">
        <v>283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>
      <c r="A104" s="159" t="s">
        <v>284</v>
      </c>
      <c r="B104" s="158"/>
      <c r="C104" s="158"/>
      <c r="D104" s="158"/>
      <c r="E104" s="160" t="s">
        <v>24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>
      <c r="A105" s="161" t="s">
        <v>285</v>
      </c>
      <c r="B105" s="158"/>
      <c r="C105" s="158"/>
      <c r="D105" s="158"/>
      <c r="E105" s="162" t="s">
        <v>12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>
      <c r="A106" s="163" t="s">
        <v>286</v>
      </c>
      <c r="B106" s="158"/>
      <c r="C106" s="158"/>
      <c r="D106" s="158"/>
      <c r="E106" s="164" t="s">
        <v>287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>
      <c r="A107" s="165" t="s">
        <v>288</v>
      </c>
      <c r="B107" s="158"/>
      <c r="C107" s="158"/>
      <c r="D107" s="158"/>
      <c r="E107" s="166" t="s">
        <v>10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>
      <c r="A108" s="167" t="s">
        <v>289</v>
      </c>
      <c r="B108" s="158"/>
      <c r="C108" s="158"/>
      <c r="D108" s="158"/>
      <c r="E108" s="168" t="s">
        <v>290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>
      <c r="A109" s="169" t="s">
        <v>291</v>
      </c>
      <c r="B109" s="158"/>
      <c r="C109" s="158"/>
      <c r="D109" s="158"/>
      <c r="E109" s="170" t="s">
        <v>292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>
      <c r="A110" s="171" t="s">
        <v>293</v>
      </c>
      <c r="B110" s="158"/>
      <c r="C110" s="158"/>
      <c r="D110" s="158"/>
      <c r="E110" s="172" t="s">
        <v>294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>
      <c r="A111" s="173" t="s">
        <v>295</v>
      </c>
      <c r="B111" s="158"/>
      <c r="C111" s="158"/>
      <c r="D111" s="158"/>
      <c r="E111" s="174" t="s">
        <v>11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>
      <c r="A112" s="175" t="s">
        <v>296</v>
      </c>
      <c r="B112" s="158"/>
      <c r="C112" s="158"/>
      <c r="D112" s="158"/>
      <c r="E112" s="176" t="s">
        <v>12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>
      <c r="A113" s="177" t="s">
        <v>297</v>
      </c>
      <c r="B113" s="158"/>
      <c r="C113" s="158"/>
      <c r="D113" s="158"/>
      <c r="E113" s="158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>
      <c r="A114" s="178" t="s">
        <v>298</v>
      </c>
      <c r="B114" s="158"/>
      <c r="C114" s="158"/>
      <c r="D114" s="158"/>
      <c r="E114" s="158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>
      <c r="A115" s="325" t="s">
        <v>501</v>
      </c>
      <c r="B115" s="158"/>
      <c r="C115" s="158"/>
      <c r="D115" s="158"/>
      <c r="E115" s="158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>
      <c r="A116" s="180" t="s">
        <v>300</v>
      </c>
      <c r="B116" s="158"/>
      <c r="C116" s="158"/>
      <c r="D116" s="158"/>
      <c r="E116" s="158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>
      <c r="A117" s="181" t="s">
        <v>301</v>
      </c>
      <c r="B117" s="158"/>
      <c r="C117" s="158"/>
      <c r="D117" s="158"/>
      <c r="E117" s="158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</sheetData>
  <mergeCells count="18">
    <mergeCell ref="G1:I1"/>
    <mergeCell ref="J1:L1"/>
    <mergeCell ref="M1:O1"/>
    <mergeCell ref="P1:R1"/>
    <mergeCell ref="S1:U1"/>
    <mergeCell ref="B6:B15"/>
    <mergeCell ref="B16:B17"/>
    <mergeCell ref="B74:B77"/>
    <mergeCell ref="B78:B86"/>
    <mergeCell ref="A94:D94"/>
    <mergeCell ref="A102:E102"/>
    <mergeCell ref="A6:A17"/>
    <mergeCell ref="A18:A86"/>
    <mergeCell ref="B18:B32"/>
    <mergeCell ref="B33:B45"/>
    <mergeCell ref="B46:B49"/>
    <mergeCell ref="B50:B68"/>
    <mergeCell ref="B69:B73"/>
  </mergeCells>
  <conditionalFormatting sqref="B3:D3 G4:U4 I48:U48 I66:U66">
    <cfRule type="cellIs" dxfId="14" priority="1" stopIfTrue="1" operator="equal">
      <formula>"Anu"</formula>
    </cfRule>
  </conditionalFormatting>
  <conditionalFormatting sqref="B3:D3 G4:U4 I48:U48 I66:U66">
    <cfRule type="cellIs" dxfId="0" priority="2" stopIfTrue="1" operator="equal">
      <formula>"Amrita"</formula>
    </cfRule>
  </conditionalFormatting>
  <conditionalFormatting sqref="B3:D3 G4:U4 I48:U48 I66:U66">
    <cfRule type="cellIs" dxfId="1" priority="3" stopIfTrue="1" operator="equal">
      <formula>"Gourav"</formula>
    </cfRule>
  </conditionalFormatting>
  <conditionalFormatting sqref="B3:D3 G4:U4 I48:U48 I66:U66">
    <cfRule type="cellIs" dxfId="2" priority="4" stopIfTrue="1" operator="equal">
      <formula>"Hannah"</formula>
    </cfRule>
  </conditionalFormatting>
  <conditionalFormatting sqref="B3:D3 G4:U4 I48:U48 I66:U66">
    <cfRule type="cellIs" dxfId="4" priority="5" stopIfTrue="1" operator="equal">
      <formula>"Nitin"</formula>
    </cfRule>
  </conditionalFormatting>
  <conditionalFormatting sqref="B3:D3 G4:U4 I48:U48 I66:U66">
    <cfRule type="cellIs" dxfId="5" priority="6" stopIfTrue="1" operator="equal">
      <formula>"Ramakrishna"</formula>
    </cfRule>
  </conditionalFormatting>
  <conditionalFormatting sqref="B3:D3 G4:U4 I48:U48 I66:U66">
    <cfRule type="cellIs" dxfId="6" priority="7" stopIfTrue="1" operator="equal">
      <formula>"Sriram"</formula>
    </cfRule>
  </conditionalFormatting>
  <conditionalFormatting sqref="B3:D3 G4:U4 I48:U48 I66:U66">
    <cfRule type="cellIs" dxfId="7" priority="8" stopIfTrue="1" operator="equal">
      <formula>"Saheli"</formula>
    </cfRule>
  </conditionalFormatting>
  <conditionalFormatting sqref="B3:D3 G4:U4 I48:U48 I66:U66">
    <cfRule type="cellIs" dxfId="8" priority="9" stopIfTrue="1" operator="equal">
      <formula>"Kavya"</formula>
    </cfRule>
  </conditionalFormatting>
  <conditionalFormatting sqref="B3:D3 G4:U4 I48:U48 I66:U66">
    <cfRule type="cellIs" dxfId="9" priority="10" stopIfTrue="1" operator="equal">
      <formula>"Vishnu"</formula>
    </cfRule>
  </conditionalFormatting>
  <conditionalFormatting sqref="B3:D3 G4:U4 I48:U48 I66:U66">
    <cfRule type="cellIs" dxfId="10" priority="11" stopIfTrue="1" operator="equal">
      <formula>"Ivy"</formula>
    </cfRule>
  </conditionalFormatting>
  <conditionalFormatting sqref="B3:D3 G4:U4 I48:U48 I66:U66">
    <cfRule type="cellIs" dxfId="11" priority="12" stopIfTrue="1" operator="equal">
      <formula>"Rupal"</formula>
    </cfRule>
  </conditionalFormatting>
  <conditionalFormatting sqref="B3:D3 G4:U4 I48:U48 I66:U66">
    <cfRule type="cellIs" dxfId="25" priority="13" stopIfTrue="1" operator="equal">
      <formula>"Utkarsh"</formula>
    </cfRule>
  </conditionalFormatting>
  <conditionalFormatting sqref="G6:I37 J6:J88 K6:L37 M6:M88 N6:O37 P6:P88 Q6:Q37 R6:R7 S6:S88 T6:T37 U7 R9:R37 U9:U37 G39:I88 K39:L88 N39:O88 Q39:R88 T39:U88">
    <cfRule type="cellIs" dxfId="16" priority="14" operator="equal">
      <formula>"OK"</formula>
    </cfRule>
  </conditionalFormatting>
  <conditionalFormatting sqref="B3:D3 G4:U4 G6:H37 I6:I7 J6:J88 K6:K37 L6:L7 M6:M88 N6:N37 O6:O7 P6:P88 Q6:Q37 R6:R7 S6:S88 T6:T37 U7 I9:I37 L9:L37 O9:O37 R9:R37 U9:U37 G39:I88 K39:L88 N39:O88 Q39:R88 T39:U88">
    <cfRule type="cellIs" dxfId="18" priority="15" stopIfTrue="1" operator="equal">
      <formula>"Not Tested"</formula>
    </cfRule>
  </conditionalFormatting>
  <conditionalFormatting sqref="G6:H37 I6:I7 J6:J88 K6:K37 L6:L7 M6:M88 N6:N37 O6:O7 P6:P88 Q6:Q37 R6:R7 S6:S88 T6:T37 U7 I9:I37 L9:L37 O9:O37 R9:R37 U9:U37 G39:I88 K39:L88 N39:O88 Q39:R88 T39:U88">
    <cfRule type="cellIs" dxfId="19" priority="16" stopIfTrue="1" operator="equal">
      <formula>"N/A"</formula>
    </cfRule>
  </conditionalFormatting>
  <conditionalFormatting sqref="B2:D2 G3:U3">
    <cfRule type="containsText" dxfId="20" priority="17" stopIfTrue="1" operator="containsText" text="Incomplete">
      <formula>NOT(ISERROR(SEARCH(("Incomplete"),(B2))))</formula>
    </cfRule>
  </conditionalFormatting>
  <conditionalFormatting sqref="B2:D2 G3:U3">
    <cfRule type="containsText" dxfId="17" priority="18" stopIfTrue="1" operator="containsText" text="Broken">
      <formula>NOT(ISERROR(SEARCH(("Broken"),(B2))))</formula>
    </cfRule>
  </conditionalFormatting>
  <conditionalFormatting sqref="B2:D2 G3:U3">
    <cfRule type="containsText" dxfId="21" priority="19" stopIfTrue="1" operator="containsText" text="Some problems">
      <formula>NOT(ISERROR(SEARCH(("Some problems"),(B2))))</formula>
    </cfRule>
  </conditionalFormatting>
  <conditionalFormatting sqref="B2:D2 G3:U3">
    <cfRule type="containsText" dxfId="22" priority="20" stopIfTrue="1" operator="containsText" text="All OK">
      <formula>NOT(ISERROR(SEARCH(("All OK"),(B2))))</formula>
    </cfRule>
  </conditionalFormatting>
  <conditionalFormatting sqref="B2:D2 G3:U3">
    <cfRule type="containsText" dxfId="23" priority="21" stopIfTrue="1" operator="containsText" text="In Progress">
      <formula>NOT(ISERROR(SEARCH(("In Progress"),(B2))))</formula>
    </cfRule>
  </conditionalFormatting>
  <conditionalFormatting sqref="B2:D2 G3:U3">
    <cfRule type="containsText" dxfId="24" priority="22" stopIfTrue="1" operator="containsText" text="Not Tested">
      <formula>NOT(ISERROR(SEARCH(("Not Tested"),(B2))))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523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523</v>
      </c>
      <c r="H1" s="6"/>
      <c r="I1" s="7"/>
      <c r="J1" s="5" t="s">
        <v>524</v>
      </c>
      <c r="K1" s="6"/>
      <c r="L1" s="7"/>
    </row>
    <row r="2">
      <c r="A2" s="8"/>
      <c r="B2" s="9" t="s">
        <v>12</v>
      </c>
      <c r="C2" s="9" t="s">
        <v>12</v>
      </c>
      <c r="D2" s="9" t="s">
        <v>382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</row>
    <row r="3">
      <c r="A3" s="13" t="s">
        <v>8</v>
      </c>
      <c r="B3" s="9" t="s">
        <v>12</v>
      </c>
      <c r="C3" s="9" t="s">
        <v>12</v>
      </c>
      <c r="D3" s="9" t="s">
        <v>286</v>
      </c>
      <c r="E3" s="10"/>
      <c r="F3" s="14" t="s">
        <v>9</v>
      </c>
      <c r="G3" s="15" t="s">
        <v>12</v>
      </c>
      <c r="H3" s="15" t="s">
        <v>12</v>
      </c>
      <c r="I3" s="15" t="s">
        <v>292</v>
      </c>
      <c r="J3" s="15" t="s">
        <v>10</v>
      </c>
      <c r="K3" s="15" t="s">
        <v>292</v>
      </c>
      <c r="L3" s="15" t="s">
        <v>10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12</v>
      </c>
      <c r="I4" s="15" t="s">
        <v>286</v>
      </c>
      <c r="J4" s="15" t="s">
        <v>12</v>
      </c>
      <c r="K4" s="15" t="s">
        <v>297</v>
      </c>
      <c r="L4" s="15" t="s">
        <v>12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48"/>
      <c r="H6" s="260"/>
      <c r="I6" s="326" t="s">
        <v>502</v>
      </c>
      <c r="J6" s="248"/>
      <c r="K6" s="260" t="s">
        <v>24</v>
      </c>
      <c r="L6" s="248"/>
    </row>
    <row r="7">
      <c r="A7" s="32"/>
      <c r="B7" s="32"/>
      <c r="C7" s="91" t="s">
        <v>345</v>
      </c>
      <c r="D7" s="10"/>
      <c r="E7" s="247" t="s">
        <v>383</v>
      </c>
      <c r="F7" s="17"/>
      <c r="G7" s="248"/>
      <c r="H7" s="259"/>
      <c r="I7" s="260" t="s">
        <v>24</v>
      </c>
      <c r="J7" s="248"/>
      <c r="K7" s="327" t="s">
        <v>525</v>
      </c>
      <c r="L7" s="248"/>
    </row>
    <row r="8">
      <c r="A8" s="32"/>
      <c r="B8" s="32"/>
      <c r="C8" s="91" t="s">
        <v>347</v>
      </c>
      <c r="D8" s="10"/>
      <c r="E8" s="249" t="s">
        <v>308</v>
      </c>
      <c r="F8" s="17"/>
      <c r="G8" s="248"/>
      <c r="H8" s="260"/>
      <c r="I8" s="326" t="s">
        <v>504</v>
      </c>
      <c r="J8" s="248"/>
      <c r="K8" s="260" t="s">
        <v>24</v>
      </c>
      <c r="L8" s="248"/>
    </row>
    <row r="9">
      <c r="A9" s="32"/>
      <c r="B9" s="32"/>
      <c r="C9" s="87" t="s">
        <v>348</v>
      </c>
      <c r="D9" s="10"/>
      <c r="E9" s="245" t="s">
        <v>77</v>
      </c>
      <c r="F9" s="17"/>
      <c r="G9" s="248"/>
      <c r="H9" s="260"/>
      <c r="I9" s="260" t="s">
        <v>24</v>
      </c>
      <c r="J9" s="248"/>
      <c r="K9" s="260" t="s">
        <v>24</v>
      </c>
      <c r="L9" s="248"/>
    </row>
    <row r="10">
      <c r="A10" s="32"/>
      <c r="B10" s="32"/>
      <c r="C10" s="77" t="s">
        <v>481</v>
      </c>
      <c r="D10" s="10"/>
      <c r="E10" s="245" t="s">
        <v>100</v>
      </c>
      <c r="F10" s="17"/>
      <c r="G10" s="248"/>
      <c r="H10" s="260"/>
      <c r="I10" s="260" t="s">
        <v>24</v>
      </c>
      <c r="J10" s="248"/>
      <c r="K10" s="260" t="s">
        <v>24</v>
      </c>
      <c r="L10" s="248"/>
    </row>
    <row r="11">
      <c r="A11" s="32"/>
      <c r="B11" s="32"/>
      <c r="C11" s="87" t="s">
        <v>526</v>
      </c>
      <c r="D11" s="10"/>
      <c r="E11" s="10"/>
      <c r="F11" s="213"/>
      <c r="G11" s="248"/>
      <c r="H11" s="260"/>
      <c r="I11" s="260" t="s">
        <v>24</v>
      </c>
      <c r="J11" s="248"/>
      <c r="K11" s="260" t="s">
        <v>24</v>
      </c>
      <c r="L11" s="248"/>
    </row>
    <row r="12">
      <c r="A12" s="32"/>
      <c r="B12" s="32"/>
      <c r="C12" s="77" t="s">
        <v>354</v>
      </c>
      <c r="D12" s="10"/>
      <c r="E12" s="10"/>
      <c r="F12" s="213" t="s">
        <v>83</v>
      </c>
      <c r="G12" s="248"/>
      <c r="H12" s="260"/>
      <c r="I12" s="260" t="s">
        <v>24</v>
      </c>
      <c r="J12" s="248"/>
      <c r="K12" s="260" t="s">
        <v>24</v>
      </c>
      <c r="L12" s="248"/>
    </row>
    <row r="13">
      <c r="A13" s="32"/>
      <c r="B13" s="32"/>
      <c r="C13" s="85" t="s">
        <v>527</v>
      </c>
      <c r="D13" s="10"/>
      <c r="E13" s="245" t="s">
        <v>34</v>
      </c>
      <c r="F13" s="17"/>
      <c r="G13" s="248"/>
      <c r="H13" s="259"/>
      <c r="I13" s="260" t="s">
        <v>24</v>
      </c>
      <c r="J13" s="248"/>
      <c r="K13" s="327" t="s">
        <v>528</v>
      </c>
      <c r="L13" s="328"/>
    </row>
    <row r="14">
      <c r="A14" s="32"/>
      <c r="B14" s="32"/>
      <c r="C14" s="77" t="s">
        <v>357</v>
      </c>
      <c r="D14" s="10"/>
      <c r="E14" s="245" t="s">
        <v>34</v>
      </c>
      <c r="F14" s="17"/>
      <c r="G14" s="248"/>
      <c r="H14" s="260"/>
      <c r="I14" s="260" t="s">
        <v>24</v>
      </c>
      <c r="J14" s="248"/>
      <c r="K14" s="260" t="s">
        <v>24</v>
      </c>
      <c r="L14" s="248"/>
    </row>
    <row r="15">
      <c r="A15" s="32"/>
      <c r="B15" s="37"/>
      <c r="C15" s="77" t="s">
        <v>396</v>
      </c>
      <c r="D15" s="10"/>
      <c r="E15" s="245" t="s">
        <v>100</v>
      </c>
      <c r="F15" s="213" t="s">
        <v>103</v>
      </c>
      <c r="G15" s="248"/>
      <c r="H15" s="260"/>
      <c r="I15" s="260" t="s">
        <v>24</v>
      </c>
      <c r="J15" s="248"/>
      <c r="K15" s="260" t="s">
        <v>24</v>
      </c>
      <c r="L15" s="248"/>
    </row>
    <row r="16">
      <c r="A16" s="32"/>
      <c r="B16" s="216" t="s">
        <v>362</v>
      </c>
      <c r="C16" s="204" t="s">
        <v>363</v>
      </c>
      <c r="D16" s="10"/>
      <c r="E16" s="10"/>
      <c r="F16" s="213" t="s">
        <v>364</v>
      </c>
      <c r="G16" s="248"/>
      <c r="H16" s="260"/>
      <c r="I16" s="260" t="s">
        <v>24</v>
      </c>
      <c r="J16" s="248"/>
      <c r="K16" s="260" t="s">
        <v>24</v>
      </c>
      <c r="L16" s="248"/>
    </row>
    <row r="17">
      <c r="A17" s="32"/>
      <c r="B17" s="37"/>
      <c r="C17" s="329" t="s">
        <v>529</v>
      </c>
      <c r="D17" s="10"/>
      <c r="E17" s="10"/>
      <c r="F17" s="213" t="s">
        <v>530</v>
      </c>
      <c r="G17" s="248"/>
      <c r="H17" s="260"/>
      <c r="I17" s="260" t="s">
        <v>24</v>
      </c>
      <c r="J17" s="248"/>
      <c r="K17" s="260" t="s">
        <v>24</v>
      </c>
      <c r="L17" s="248"/>
    </row>
    <row r="18">
      <c r="A18" s="203" t="s">
        <v>108</v>
      </c>
      <c r="B18" s="102" t="s">
        <v>109</v>
      </c>
      <c r="C18" s="77" t="s">
        <v>110</v>
      </c>
      <c r="D18" s="10"/>
      <c r="E18" s="10"/>
      <c r="F18" s="17"/>
      <c r="G18" s="248"/>
      <c r="H18" s="260"/>
      <c r="I18" s="260" t="s">
        <v>24</v>
      </c>
      <c r="J18" s="248"/>
      <c r="K18" s="260" t="s">
        <v>24</v>
      </c>
      <c r="L18" s="248"/>
    </row>
    <row r="19">
      <c r="A19" s="32"/>
      <c r="B19" s="32"/>
      <c r="C19" s="77" t="s">
        <v>112</v>
      </c>
      <c r="D19" s="10"/>
      <c r="E19" s="10"/>
      <c r="F19" s="17"/>
      <c r="G19" s="248"/>
      <c r="H19" s="262"/>
      <c r="I19" s="260" t="s">
        <v>24</v>
      </c>
      <c r="J19" s="248"/>
      <c r="K19" s="262" t="s">
        <v>24</v>
      </c>
      <c r="L19" s="330"/>
    </row>
    <row r="20">
      <c r="A20" s="32"/>
      <c r="B20" s="32"/>
      <c r="C20" s="83" t="s">
        <v>114</v>
      </c>
      <c r="D20" s="10"/>
      <c r="E20" s="243" t="s">
        <v>115</v>
      </c>
      <c r="F20" s="17"/>
      <c r="G20" s="248"/>
      <c r="H20" s="260"/>
      <c r="I20" s="260" t="s">
        <v>24</v>
      </c>
      <c r="J20" s="248"/>
      <c r="K20" s="260" t="s">
        <v>24</v>
      </c>
      <c r="L20" s="328"/>
    </row>
    <row r="21">
      <c r="A21" s="32"/>
      <c r="B21" s="32"/>
      <c r="C21" s="85" t="s">
        <v>116</v>
      </c>
      <c r="D21" s="10"/>
      <c r="E21" s="10"/>
      <c r="F21" s="213" t="s">
        <v>117</v>
      </c>
      <c r="G21" s="248"/>
      <c r="H21" s="260"/>
      <c r="I21" s="260" t="s">
        <v>24</v>
      </c>
      <c r="J21" s="248"/>
      <c r="K21" s="260" t="s">
        <v>24</v>
      </c>
      <c r="L21" s="248"/>
    </row>
    <row r="22">
      <c r="A22" s="32"/>
      <c r="B22" s="32"/>
      <c r="C22" s="87" t="s">
        <v>118</v>
      </c>
      <c r="D22" s="10"/>
      <c r="E22" s="252" t="s">
        <v>386</v>
      </c>
      <c r="F22" s="213"/>
      <c r="G22" s="248"/>
      <c r="H22" s="260"/>
      <c r="I22" s="260" t="s">
        <v>24</v>
      </c>
      <c r="J22" s="248"/>
      <c r="K22" s="260" t="s">
        <v>24</v>
      </c>
      <c r="L22" s="248"/>
    </row>
    <row r="23">
      <c r="A23" s="32"/>
      <c r="B23" s="32"/>
      <c r="C23" s="90" t="s">
        <v>120</v>
      </c>
      <c r="D23" s="10"/>
      <c r="E23" s="252" t="s">
        <v>121</v>
      </c>
      <c r="F23" s="213" t="s">
        <v>122</v>
      </c>
      <c r="G23" s="248"/>
      <c r="H23" s="260"/>
      <c r="I23" s="260" t="s">
        <v>24</v>
      </c>
      <c r="J23" s="248"/>
      <c r="K23" s="260" t="s">
        <v>24</v>
      </c>
      <c r="L23" s="248"/>
    </row>
    <row r="24">
      <c r="A24" s="32"/>
      <c r="B24" s="32"/>
      <c r="C24" s="91" t="s">
        <v>123</v>
      </c>
      <c r="D24" s="10"/>
      <c r="E24" s="10"/>
      <c r="F24" s="213" t="s">
        <v>124</v>
      </c>
      <c r="G24" s="248"/>
      <c r="H24" s="260"/>
      <c r="I24" s="260" t="s">
        <v>24</v>
      </c>
      <c r="J24" s="248"/>
      <c r="K24" s="260" t="s">
        <v>24</v>
      </c>
      <c r="L24" s="248"/>
    </row>
    <row r="25">
      <c r="A25" s="32"/>
      <c r="B25" s="32"/>
      <c r="C25" s="92" t="s">
        <v>125</v>
      </c>
      <c r="D25" s="10"/>
      <c r="E25" s="10"/>
      <c r="F25" s="213" t="s">
        <v>126</v>
      </c>
      <c r="G25" s="248"/>
      <c r="H25" s="260"/>
      <c r="I25" s="260" t="s">
        <v>24</v>
      </c>
      <c r="J25" s="248"/>
      <c r="K25" s="260" t="s">
        <v>24</v>
      </c>
      <c r="L25" s="248"/>
    </row>
    <row r="26">
      <c r="A26" s="32"/>
      <c r="B26" s="32"/>
      <c r="C26" s="77" t="s">
        <v>127</v>
      </c>
      <c r="D26" s="10"/>
      <c r="E26" s="10"/>
      <c r="F26" s="213" t="s">
        <v>128</v>
      </c>
      <c r="G26" s="248"/>
      <c r="H26" s="260"/>
      <c r="I26" s="260" t="s">
        <v>24</v>
      </c>
      <c r="J26" s="248"/>
      <c r="K26" s="260" t="s">
        <v>24</v>
      </c>
      <c r="L26" s="248"/>
    </row>
    <row r="27">
      <c r="A27" s="32"/>
      <c r="B27" s="32"/>
      <c r="C27" s="93" t="s">
        <v>129</v>
      </c>
      <c r="D27" s="10"/>
      <c r="E27" s="245" t="s">
        <v>313</v>
      </c>
      <c r="F27" s="17"/>
      <c r="G27" s="248"/>
      <c r="H27" s="260"/>
      <c r="I27" s="260" t="s">
        <v>24</v>
      </c>
      <c r="J27" s="248"/>
      <c r="K27" s="260" t="s">
        <v>24</v>
      </c>
      <c r="L27" s="328"/>
    </row>
    <row r="28">
      <c r="A28" s="32"/>
      <c r="B28" s="32"/>
      <c r="C28" s="92" t="s">
        <v>368</v>
      </c>
      <c r="D28" s="10"/>
      <c r="E28" s="10"/>
      <c r="F28" s="17"/>
      <c r="G28" s="248"/>
      <c r="H28" s="260"/>
      <c r="I28" s="260" t="s">
        <v>24</v>
      </c>
      <c r="J28" s="248"/>
      <c r="K28" s="260" t="s">
        <v>24</v>
      </c>
      <c r="L28" s="248"/>
    </row>
    <row r="29">
      <c r="A29" s="32"/>
      <c r="B29" s="32"/>
      <c r="C29" s="98" t="s">
        <v>134</v>
      </c>
      <c r="D29" s="10"/>
      <c r="E29" s="10"/>
      <c r="F29" s="221" t="s">
        <v>136</v>
      </c>
      <c r="G29" s="248"/>
      <c r="H29" s="260"/>
      <c r="I29" s="260" t="s">
        <v>24</v>
      </c>
      <c r="J29" s="248"/>
      <c r="K29" s="260" t="s">
        <v>24</v>
      </c>
      <c r="L29" s="248"/>
    </row>
    <row r="30">
      <c r="A30" s="32"/>
      <c r="B30" s="32"/>
      <c r="C30" s="92" t="s">
        <v>137</v>
      </c>
      <c r="D30" s="10"/>
      <c r="E30" s="10"/>
      <c r="F30" s="17"/>
      <c r="G30" s="248"/>
      <c r="H30" s="259"/>
      <c r="I30" s="260" t="s">
        <v>24</v>
      </c>
      <c r="J30" s="248"/>
      <c r="K30" s="327" t="s">
        <v>531</v>
      </c>
      <c r="L30" s="331"/>
    </row>
    <row r="31">
      <c r="A31" s="32"/>
      <c r="B31" s="32"/>
      <c r="C31" s="92" t="s">
        <v>138</v>
      </c>
      <c r="D31" s="10"/>
      <c r="E31" s="10"/>
      <c r="F31" s="17"/>
      <c r="G31" s="248"/>
      <c r="H31" s="260"/>
      <c r="I31" s="260" t="s">
        <v>24</v>
      </c>
      <c r="J31" s="248"/>
      <c r="K31" s="260" t="s">
        <v>24</v>
      </c>
      <c r="L31" s="248"/>
    </row>
    <row r="32">
      <c r="A32" s="32"/>
      <c r="B32" s="37"/>
      <c r="C32" s="101" t="s">
        <v>139</v>
      </c>
      <c r="D32" s="10"/>
      <c r="E32" s="10"/>
      <c r="F32" s="17"/>
      <c r="G32" s="248"/>
      <c r="H32" s="260"/>
      <c r="I32" s="260" t="s">
        <v>24</v>
      </c>
      <c r="J32" s="248"/>
      <c r="K32" s="260" t="s">
        <v>24</v>
      </c>
      <c r="L32" s="248"/>
    </row>
    <row r="33">
      <c r="A33" s="32"/>
      <c r="B33" s="102" t="s">
        <v>140</v>
      </c>
      <c r="C33" s="103" t="s">
        <v>141</v>
      </c>
      <c r="D33" s="245" t="s">
        <v>180</v>
      </c>
      <c r="E33" s="245" t="s">
        <v>453</v>
      </c>
      <c r="F33" s="17"/>
      <c r="G33" s="248"/>
      <c r="H33" s="260"/>
      <c r="I33" s="260" t="s">
        <v>24</v>
      </c>
      <c r="J33" s="248"/>
      <c r="K33" s="260" t="s">
        <v>24</v>
      </c>
      <c r="L33" s="248"/>
    </row>
    <row r="34">
      <c r="A34" s="32"/>
      <c r="B34" s="32"/>
      <c r="C34" s="93" t="s">
        <v>146</v>
      </c>
      <c r="D34" s="10"/>
      <c r="E34" s="10"/>
      <c r="F34" s="213" t="s">
        <v>147</v>
      </c>
      <c r="G34" s="248"/>
      <c r="H34" s="260"/>
      <c r="I34" s="260" t="s">
        <v>24</v>
      </c>
      <c r="J34" s="248"/>
      <c r="K34" s="260" t="s">
        <v>24</v>
      </c>
      <c r="L34" s="262"/>
    </row>
    <row r="35">
      <c r="A35" s="32"/>
      <c r="B35" s="32"/>
      <c r="C35" s="107" t="s">
        <v>148</v>
      </c>
      <c r="D35" s="10"/>
      <c r="E35" s="10"/>
      <c r="F35" s="213" t="s">
        <v>149</v>
      </c>
      <c r="G35" s="248"/>
      <c r="H35" s="260"/>
      <c r="I35" s="260" t="s">
        <v>24</v>
      </c>
      <c r="J35" s="248"/>
      <c r="K35" s="260" t="s">
        <v>24</v>
      </c>
      <c r="L35" s="248"/>
    </row>
    <row r="36">
      <c r="A36" s="32"/>
      <c r="B36" s="32"/>
      <c r="C36" s="108" t="s">
        <v>150</v>
      </c>
      <c r="D36" s="10"/>
      <c r="E36" s="10"/>
      <c r="F36" s="213" t="s">
        <v>149</v>
      </c>
      <c r="G36" s="248"/>
      <c r="H36" s="260"/>
      <c r="I36" s="260" t="s">
        <v>24</v>
      </c>
      <c r="J36" s="248"/>
      <c r="K36" s="260" t="s">
        <v>24</v>
      </c>
      <c r="L36" s="248"/>
    </row>
    <row r="37">
      <c r="A37" s="32"/>
      <c r="B37" s="32"/>
      <c r="C37" s="307" t="s">
        <v>488</v>
      </c>
      <c r="D37" s="10"/>
      <c r="E37" s="10"/>
      <c r="F37" s="17"/>
      <c r="G37" s="248"/>
      <c r="H37" s="259"/>
      <c r="I37" s="327" t="s">
        <v>532</v>
      </c>
      <c r="J37" s="248"/>
      <c r="K37" s="327" t="s">
        <v>533</v>
      </c>
      <c r="L37" s="328"/>
    </row>
    <row r="38">
      <c r="A38" s="32"/>
      <c r="B38" s="32"/>
      <c r="C38" s="111" t="s">
        <v>155</v>
      </c>
      <c r="D38" s="10"/>
      <c r="E38" s="10"/>
      <c r="F38" s="221" t="s">
        <v>397</v>
      </c>
      <c r="G38" s="248"/>
      <c r="H38" s="221"/>
      <c r="I38" s="260" t="s">
        <v>24</v>
      </c>
      <c r="J38" s="248"/>
      <c r="K38" s="221" t="s">
        <v>397</v>
      </c>
      <c r="L38" s="221"/>
    </row>
    <row r="39">
      <c r="A39" s="32"/>
      <c r="B39" s="32"/>
      <c r="C39" s="112" t="s">
        <v>157</v>
      </c>
      <c r="D39" s="10"/>
      <c r="E39" s="243" t="s">
        <v>158</v>
      </c>
      <c r="F39" s="17"/>
      <c r="G39" s="248"/>
      <c r="H39" s="260"/>
      <c r="I39" s="260" t="s">
        <v>24</v>
      </c>
      <c r="J39" s="248"/>
      <c r="K39" s="260" t="s">
        <v>24</v>
      </c>
      <c r="L39" s="248"/>
    </row>
    <row r="40">
      <c r="A40" s="32"/>
      <c r="B40" s="32"/>
      <c r="C40" s="83" t="s">
        <v>159</v>
      </c>
      <c r="D40" s="10"/>
      <c r="E40" s="10"/>
      <c r="F40" s="17"/>
      <c r="G40" s="248"/>
      <c r="H40" s="260"/>
      <c r="I40" s="260" t="s">
        <v>24</v>
      </c>
      <c r="J40" s="248"/>
      <c r="K40" s="260" t="s">
        <v>24</v>
      </c>
      <c r="L40" s="248"/>
    </row>
    <row r="41">
      <c r="A41" s="32"/>
      <c r="B41" s="32"/>
      <c r="C41" s="93" t="s">
        <v>161</v>
      </c>
      <c r="D41" s="10"/>
      <c r="E41" s="10"/>
      <c r="F41" s="17"/>
      <c r="G41" s="248"/>
      <c r="H41" s="260"/>
      <c r="I41" s="260" t="s">
        <v>24</v>
      </c>
      <c r="J41" s="248"/>
      <c r="K41" s="260" t="s">
        <v>24</v>
      </c>
      <c r="L41" s="328"/>
    </row>
    <row r="42">
      <c r="A42" s="32"/>
      <c r="B42" s="32"/>
      <c r="C42" s="93" t="s">
        <v>162</v>
      </c>
      <c r="D42" s="10"/>
      <c r="E42" s="10"/>
      <c r="F42" s="223"/>
      <c r="G42" s="248"/>
      <c r="H42" s="260"/>
      <c r="I42" s="260" t="s">
        <v>24</v>
      </c>
      <c r="J42" s="248"/>
      <c r="K42" s="260" t="s">
        <v>24</v>
      </c>
      <c r="L42" s="248"/>
    </row>
    <row r="43">
      <c r="A43" s="32"/>
      <c r="B43" s="32"/>
      <c r="C43" s="106" t="s">
        <v>164</v>
      </c>
      <c r="D43" s="10"/>
      <c r="E43" s="10"/>
      <c r="F43" s="224" t="s">
        <v>165</v>
      </c>
      <c r="G43" s="248"/>
      <c r="H43" s="260"/>
      <c r="I43" s="260" t="s">
        <v>24</v>
      </c>
      <c r="J43" s="248"/>
      <c r="K43" s="260" t="s">
        <v>24</v>
      </c>
      <c r="L43" s="248"/>
    </row>
    <row r="44">
      <c r="A44" s="32"/>
      <c r="B44" s="32"/>
      <c r="C44" s="106" t="s">
        <v>166</v>
      </c>
      <c r="D44" s="10"/>
      <c r="E44" s="10"/>
      <c r="F44" s="213" t="s">
        <v>472</v>
      </c>
      <c r="G44" s="248"/>
      <c r="H44" s="260"/>
      <c r="I44" s="260" t="s">
        <v>24</v>
      </c>
      <c r="J44" s="248"/>
      <c r="K44" s="260" t="s">
        <v>24</v>
      </c>
      <c r="L44" s="248"/>
    </row>
    <row r="45">
      <c r="A45" s="32"/>
      <c r="B45" s="37"/>
      <c r="C45" s="93" t="s">
        <v>168</v>
      </c>
      <c r="D45" s="10"/>
      <c r="E45" s="10"/>
      <c r="F45" s="17"/>
      <c r="G45" s="248"/>
      <c r="H45" s="260"/>
      <c r="I45" s="260" t="s">
        <v>24</v>
      </c>
      <c r="J45" s="248"/>
      <c r="K45" s="260" t="s">
        <v>24</v>
      </c>
      <c r="L45" s="248"/>
    </row>
    <row r="46">
      <c r="A46" s="32"/>
      <c r="B46" s="115" t="s">
        <v>169</v>
      </c>
      <c r="C46" s="85" t="s">
        <v>141</v>
      </c>
      <c r="D46" s="10"/>
      <c r="E46" s="10"/>
      <c r="F46" s="213" t="s">
        <v>170</v>
      </c>
      <c r="G46" s="248"/>
      <c r="H46" s="260"/>
      <c r="I46" s="260" t="s">
        <v>24</v>
      </c>
      <c r="J46" s="248"/>
      <c r="K46" s="260" t="s">
        <v>24</v>
      </c>
      <c r="L46" s="248"/>
    </row>
    <row r="47">
      <c r="A47" s="32"/>
      <c r="B47" s="32"/>
      <c r="C47" s="85" t="s">
        <v>171</v>
      </c>
      <c r="D47" s="10"/>
      <c r="E47" s="10"/>
      <c r="F47" s="17"/>
      <c r="G47" s="248"/>
      <c r="H47" s="260"/>
      <c r="I47" s="260" t="s">
        <v>24</v>
      </c>
      <c r="J47" s="248"/>
      <c r="K47" s="260" t="s">
        <v>24</v>
      </c>
      <c r="L47" s="248"/>
    </row>
    <row r="48">
      <c r="A48" s="32"/>
      <c r="B48" s="32"/>
      <c r="C48" s="77" t="s">
        <v>534</v>
      </c>
      <c r="D48" s="10"/>
      <c r="E48" s="10"/>
      <c r="F48" s="213" t="s">
        <v>535</v>
      </c>
      <c r="G48" s="248"/>
      <c r="H48" s="259"/>
      <c r="I48" s="332" t="s">
        <v>536</v>
      </c>
      <c r="J48" s="248"/>
      <c r="K48" s="332" t="s">
        <v>536</v>
      </c>
      <c r="L48" s="328"/>
    </row>
    <row r="49">
      <c r="A49" s="32"/>
      <c r="B49" s="32"/>
      <c r="C49" s="116" t="s">
        <v>315</v>
      </c>
      <c r="D49" s="10"/>
      <c r="E49" s="10"/>
      <c r="F49" s="321" t="s">
        <v>176</v>
      </c>
      <c r="G49" s="248"/>
      <c r="H49" s="260"/>
      <c r="I49" s="15" t="s">
        <v>12</v>
      </c>
      <c r="J49" s="248"/>
      <c r="K49" s="260" t="s">
        <v>24</v>
      </c>
      <c r="L49" s="248"/>
    </row>
    <row r="50">
      <c r="A50" s="32"/>
      <c r="B50" s="37"/>
      <c r="C50" s="77" t="s">
        <v>177</v>
      </c>
      <c r="D50" s="10"/>
      <c r="E50" s="10"/>
      <c r="F50" s="17"/>
      <c r="G50" s="248"/>
      <c r="H50" s="260"/>
      <c r="I50" s="260" t="s">
        <v>24</v>
      </c>
      <c r="J50" s="248"/>
      <c r="K50" s="260" t="s">
        <v>24</v>
      </c>
      <c r="L50" s="248"/>
    </row>
    <row r="51">
      <c r="A51" s="32"/>
      <c r="B51" s="102" t="s">
        <v>178</v>
      </c>
      <c r="C51" s="93" t="s">
        <v>179</v>
      </c>
      <c r="D51" s="10"/>
      <c r="E51" s="10"/>
      <c r="F51" s="17"/>
      <c r="G51" s="248"/>
      <c r="H51" s="260"/>
      <c r="I51" s="260" t="s">
        <v>24</v>
      </c>
      <c r="J51" s="248"/>
      <c r="K51" s="260" t="s">
        <v>24</v>
      </c>
      <c r="L51" s="248"/>
    </row>
    <row r="52">
      <c r="A52" s="32"/>
      <c r="B52" s="32"/>
      <c r="C52" s="93" t="s">
        <v>141</v>
      </c>
      <c r="D52" s="10"/>
      <c r="E52" s="10"/>
      <c r="F52" s="17"/>
      <c r="G52" s="248"/>
      <c r="H52" s="260"/>
      <c r="I52" s="260" t="s">
        <v>24</v>
      </c>
      <c r="J52" s="248"/>
      <c r="K52" s="260" t="s">
        <v>24</v>
      </c>
      <c r="L52" s="248"/>
    </row>
    <row r="53">
      <c r="A53" s="32"/>
      <c r="B53" s="32"/>
      <c r="C53" s="106" t="s">
        <v>181</v>
      </c>
      <c r="D53" s="10"/>
      <c r="E53" s="10"/>
      <c r="F53" s="213" t="s">
        <v>182</v>
      </c>
      <c r="G53" s="248"/>
      <c r="H53" s="260"/>
      <c r="I53" s="260" t="s">
        <v>24</v>
      </c>
      <c r="J53" s="248"/>
      <c r="K53" s="260" t="s">
        <v>24</v>
      </c>
      <c r="L53" s="248"/>
    </row>
    <row r="54">
      <c r="A54" s="32"/>
      <c r="B54" s="32"/>
      <c r="C54" s="93" t="s">
        <v>183</v>
      </c>
      <c r="D54" s="10"/>
      <c r="E54" s="10"/>
      <c r="F54" s="17"/>
      <c r="G54" s="248"/>
      <c r="H54" s="260"/>
      <c r="I54" s="260" t="s">
        <v>24</v>
      </c>
      <c r="J54" s="248"/>
      <c r="K54" s="260" t="s">
        <v>24</v>
      </c>
      <c r="L54" s="248"/>
    </row>
    <row r="55">
      <c r="A55" s="32"/>
      <c r="B55" s="32"/>
      <c r="C55" s="93" t="s">
        <v>184</v>
      </c>
      <c r="D55" s="10"/>
      <c r="E55" s="10"/>
      <c r="F55" s="17"/>
      <c r="G55" s="248"/>
      <c r="H55" s="260"/>
      <c r="I55" s="260" t="s">
        <v>24</v>
      </c>
      <c r="J55" s="248"/>
      <c r="K55" s="260" t="s">
        <v>24</v>
      </c>
      <c r="L55" s="248"/>
    </row>
    <row r="56">
      <c r="A56" s="32"/>
      <c r="B56" s="32"/>
      <c r="C56" s="93" t="s">
        <v>512</v>
      </c>
      <c r="D56" s="10"/>
      <c r="E56" s="10"/>
      <c r="F56" s="213" t="s">
        <v>186</v>
      </c>
      <c r="G56" s="248"/>
      <c r="H56" s="260"/>
      <c r="I56" s="260" t="s">
        <v>24</v>
      </c>
      <c r="J56" s="248"/>
      <c r="K56" s="260" t="s">
        <v>24</v>
      </c>
      <c r="L56" s="248"/>
    </row>
    <row r="57">
      <c r="A57" s="32"/>
      <c r="B57" s="32"/>
      <c r="C57" s="87" t="s">
        <v>187</v>
      </c>
      <c r="D57" s="10"/>
      <c r="E57" s="10"/>
      <c r="F57" s="17"/>
      <c r="G57" s="248"/>
      <c r="H57" s="260"/>
      <c r="I57" s="260" t="s">
        <v>24</v>
      </c>
      <c r="J57" s="248"/>
      <c r="K57" s="260" t="s">
        <v>24</v>
      </c>
      <c r="L57" s="248"/>
    </row>
    <row r="58">
      <c r="A58" s="32"/>
      <c r="B58" s="32"/>
      <c r="C58" s="77" t="s">
        <v>190</v>
      </c>
      <c r="D58" s="10"/>
      <c r="E58" s="10"/>
      <c r="F58" s="17"/>
      <c r="G58" s="248"/>
      <c r="H58" s="260"/>
      <c r="I58" s="332" t="s">
        <v>537</v>
      </c>
      <c r="J58" s="248"/>
      <c r="K58" s="260" t="s">
        <v>24</v>
      </c>
      <c r="L58" s="328"/>
    </row>
    <row r="59">
      <c r="A59" s="32"/>
      <c r="B59" s="32"/>
      <c r="C59" s="106" t="s">
        <v>425</v>
      </c>
      <c r="D59" s="10"/>
      <c r="E59" s="10"/>
      <c r="F59" s="213" t="s">
        <v>192</v>
      </c>
      <c r="G59" s="248"/>
      <c r="H59" s="260"/>
      <c r="I59" s="260" t="s">
        <v>24</v>
      </c>
      <c r="J59" s="248"/>
      <c r="K59" s="260" t="s">
        <v>24</v>
      </c>
      <c r="L59" s="248"/>
    </row>
    <row r="60">
      <c r="A60" s="32"/>
      <c r="B60" s="32"/>
      <c r="C60" s="106" t="s">
        <v>193</v>
      </c>
      <c r="D60" s="10"/>
      <c r="E60" s="10"/>
      <c r="F60" s="17"/>
      <c r="G60" s="248"/>
      <c r="H60" s="260"/>
      <c r="I60" s="260" t="s">
        <v>24</v>
      </c>
      <c r="J60" s="248"/>
      <c r="K60" s="260" t="s">
        <v>24</v>
      </c>
      <c r="L60" s="248"/>
    </row>
    <row r="61">
      <c r="A61" s="32"/>
      <c r="B61" s="32"/>
      <c r="C61" s="93" t="s">
        <v>194</v>
      </c>
      <c r="D61" s="10"/>
      <c r="E61" s="10"/>
      <c r="F61" s="17"/>
      <c r="G61" s="248"/>
      <c r="H61" s="260"/>
      <c r="I61" s="260" t="s">
        <v>24</v>
      </c>
      <c r="J61" s="248"/>
      <c r="K61" s="260" t="s">
        <v>24</v>
      </c>
      <c r="L61" s="248"/>
    </row>
    <row r="62">
      <c r="A62" s="32"/>
      <c r="B62" s="32"/>
      <c r="C62" s="103" t="s">
        <v>195</v>
      </c>
      <c r="D62" s="10"/>
      <c r="E62" s="10"/>
      <c r="F62" s="213" t="s">
        <v>196</v>
      </c>
      <c r="G62" s="248"/>
      <c r="H62" s="260"/>
      <c r="I62" s="260" t="s">
        <v>24</v>
      </c>
      <c r="J62" s="248"/>
      <c r="K62" s="260" t="s">
        <v>24</v>
      </c>
      <c r="L62" s="248"/>
    </row>
    <row r="63">
      <c r="A63" s="32"/>
      <c r="B63" s="32"/>
      <c r="C63" s="93" t="s">
        <v>197</v>
      </c>
      <c r="D63" s="10"/>
      <c r="E63" s="10"/>
      <c r="F63" s="213" t="s">
        <v>196</v>
      </c>
      <c r="G63" s="248"/>
      <c r="H63" s="260"/>
      <c r="I63" s="260" t="s">
        <v>24</v>
      </c>
      <c r="J63" s="248"/>
      <c r="K63" s="260" t="s">
        <v>24</v>
      </c>
      <c r="L63" s="248"/>
    </row>
    <row r="64">
      <c r="A64" s="32"/>
      <c r="B64" s="32"/>
      <c r="C64" s="93" t="s">
        <v>198</v>
      </c>
      <c r="D64" s="10"/>
      <c r="E64" s="10"/>
      <c r="F64" s="213" t="s">
        <v>196</v>
      </c>
      <c r="G64" s="248"/>
      <c r="H64" s="260"/>
      <c r="I64" s="260" t="s">
        <v>24</v>
      </c>
      <c r="J64" s="248"/>
      <c r="K64" s="260" t="s">
        <v>24</v>
      </c>
      <c r="L64" s="248"/>
    </row>
    <row r="65">
      <c r="A65" s="32"/>
      <c r="B65" s="32"/>
      <c r="C65" s="106" t="s">
        <v>201</v>
      </c>
      <c r="D65" s="10"/>
      <c r="E65" s="10"/>
      <c r="F65" s="213" t="s">
        <v>202</v>
      </c>
      <c r="G65" s="248"/>
      <c r="H65" s="260"/>
      <c r="I65" s="260" t="s">
        <v>24</v>
      </c>
      <c r="J65" s="248"/>
      <c r="K65" s="260" t="s">
        <v>24</v>
      </c>
      <c r="L65" s="248"/>
    </row>
    <row r="66">
      <c r="A66" s="32"/>
      <c r="B66" s="32"/>
      <c r="C66" s="119" t="s">
        <v>203</v>
      </c>
      <c r="D66" s="10"/>
      <c r="E66" s="10"/>
      <c r="F66" s="213" t="s">
        <v>124</v>
      </c>
      <c r="G66" s="248"/>
      <c r="H66" s="323"/>
      <c r="I66" s="333" t="s">
        <v>538</v>
      </c>
      <c r="J66" s="248"/>
      <c r="K66" s="333" t="s">
        <v>538</v>
      </c>
      <c r="L66" s="248"/>
    </row>
    <row r="67">
      <c r="A67" s="32"/>
      <c r="B67" s="32"/>
      <c r="C67" s="120" t="s">
        <v>316</v>
      </c>
      <c r="D67" s="10"/>
      <c r="E67" s="10"/>
      <c r="F67" s="213" t="s">
        <v>124</v>
      </c>
      <c r="G67" s="248"/>
      <c r="H67" s="259"/>
      <c r="I67" s="15" t="s">
        <v>12</v>
      </c>
      <c r="J67" s="248"/>
      <c r="K67" s="327" t="s">
        <v>539</v>
      </c>
      <c r="L67" s="248"/>
    </row>
    <row r="68">
      <c r="A68" s="32"/>
      <c r="B68" s="32"/>
      <c r="C68" s="121" t="s">
        <v>205</v>
      </c>
      <c r="D68" s="245" t="s">
        <v>206</v>
      </c>
      <c r="E68" s="10"/>
      <c r="F68" s="213" t="s">
        <v>207</v>
      </c>
      <c r="G68" s="248"/>
      <c r="H68" s="260"/>
      <c r="I68" s="260" t="s">
        <v>24</v>
      </c>
      <c r="J68" s="248"/>
      <c r="K68" s="260" t="s">
        <v>24</v>
      </c>
      <c r="L68" s="328"/>
    </row>
    <row r="69">
      <c r="A69" s="32"/>
      <c r="B69" s="37"/>
      <c r="C69" s="93" t="s">
        <v>492</v>
      </c>
      <c r="D69" s="10"/>
      <c r="E69" s="10"/>
      <c r="F69" s="213" t="s">
        <v>493</v>
      </c>
      <c r="G69" s="248"/>
      <c r="H69" s="260"/>
      <c r="I69" s="260" t="s">
        <v>517</v>
      </c>
      <c r="J69" s="248"/>
      <c r="K69" s="260" t="s">
        <v>517</v>
      </c>
      <c r="L69" s="274"/>
    </row>
    <row r="70">
      <c r="A70" s="32"/>
      <c r="B70" s="102" t="s">
        <v>208</v>
      </c>
      <c r="C70" s="106" t="s">
        <v>209</v>
      </c>
      <c r="D70" s="10"/>
      <c r="E70" s="10"/>
      <c r="F70" s="17"/>
      <c r="G70" s="248"/>
      <c r="H70" s="260"/>
      <c r="I70" s="260" t="s">
        <v>24</v>
      </c>
      <c r="J70" s="248"/>
      <c r="K70" s="260" t="s">
        <v>24</v>
      </c>
      <c r="L70" s="248"/>
    </row>
    <row r="71">
      <c r="A71" s="32"/>
      <c r="B71" s="32"/>
      <c r="C71" s="123" t="s">
        <v>210</v>
      </c>
      <c r="D71" s="10"/>
      <c r="E71" s="10"/>
      <c r="F71" s="213" t="s">
        <v>211</v>
      </c>
      <c r="G71" s="248"/>
      <c r="H71" s="260"/>
      <c r="I71" s="260" t="s">
        <v>24</v>
      </c>
      <c r="J71" s="248"/>
      <c r="K71" s="260" t="s">
        <v>24</v>
      </c>
      <c r="L71" s="248"/>
    </row>
    <row r="72">
      <c r="A72" s="32"/>
      <c r="B72" s="32"/>
      <c r="C72" s="124" t="s">
        <v>212</v>
      </c>
      <c r="D72" s="10"/>
      <c r="E72" s="10"/>
      <c r="F72" s="17"/>
      <c r="G72" s="248"/>
      <c r="H72" s="260"/>
      <c r="I72" s="260" t="s">
        <v>24</v>
      </c>
      <c r="J72" s="248"/>
      <c r="K72" s="260" t="s">
        <v>24</v>
      </c>
      <c r="L72" s="248"/>
    </row>
    <row r="73">
      <c r="A73" s="32"/>
      <c r="B73" s="32"/>
      <c r="C73" s="125" t="s">
        <v>213</v>
      </c>
      <c r="D73" s="10"/>
      <c r="E73" s="10"/>
      <c r="F73" s="17"/>
      <c r="G73" s="248"/>
      <c r="H73" s="260"/>
      <c r="I73" s="260" t="s">
        <v>24</v>
      </c>
      <c r="J73" s="248"/>
      <c r="K73" s="260" t="s">
        <v>24</v>
      </c>
      <c r="L73" s="248"/>
    </row>
    <row r="74">
      <c r="A74" s="32"/>
      <c r="B74" s="37"/>
      <c r="C74" s="124" t="s">
        <v>214</v>
      </c>
      <c r="D74" s="10"/>
      <c r="E74" s="10"/>
      <c r="F74" s="17"/>
      <c r="G74" s="248"/>
      <c r="H74" s="260"/>
      <c r="I74" s="260" t="s">
        <v>24</v>
      </c>
      <c r="J74" s="248"/>
      <c r="K74" s="260" t="s">
        <v>24</v>
      </c>
      <c r="L74" s="248"/>
    </row>
    <row r="75">
      <c r="A75" s="32"/>
      <c r="B75" s="115" t="s">
        <v>217</v>
      </c>
      <c r="C75" s="124" t="s">
        <v>218</v>
      </c>
      <c r="D75" s="10"/>
      <c r="E75" s="10"/>
      <c r="F75" s="17"/>
      <c r="G75" s="248"/>
      <c r="H75" s="260"/>
      <c r="I75" s="260" t="s">
        <v>24</v>
      </c>
      <c r="J75" s="248"/>
      <c r="K75" s="260" t="s">
        <v>24</v>
      </c>
      <c r="L75" s="248"/>
    </row>
    <row r="76">
      <c r="A76" s="32"/>
      <c r="B76" s="32"/>
      <c r="C76" s="124" t="s">
        <v>220</v>
      </c>
      <c r="D76" s="10"/>
      <c r="E76" s="10"/>
      <c r="F76" s="17"/>
      <c r="G76" s="248"/>
      <c r="H76" s="260"/>
      <c r="I76" s="260" t="s">
        <v>24</v>
      </c>
      <c r="J76" s="248"/>
      <c r="K76" s="260" t="s">
        <v>24</v>
      </c>
      <c r="L76" s="248"/>
    </row>
    <row r="77">
      <c r="A77" s="32"/>
      <c r="B77" s="32"/>
      <c r="C77" s="129" t="s">
        <v>474</v>
      </c>
      <c r="D77" s="10"/>
      <c r="E77" s="10"/>
      <c r="F77" s="213" t="s">
        <v>222</v>
      </c>
      <c r="G77" s="248"/>
      <c r="H77" s="260"/>
      <c r="I77" s="260" t="s">
        <v>24</v>
      </c>
      <c r="J77" s="248"/>
      <c r="K77" s="260" t="s">
        <v>24</v>
      </c>
      <c r="L77" s="248"/>
    </row>
    <row r="78">
      <c r="A78" s="32"/>
      <c r="B78" s="37"/>
      <c r="C78" s="124" t="s">
        <v>223</v>
      </c>
      <c r="D78" s="10"/>
      <c r="E78" s="10"/>
      <c r="F78" s="213" t="s">
        <v>224</v>
      </c>
      <c r="G78" s="248"/>
      <c r="H78" s="260"/>
      <c r="I78" s="260" t="s">
        <v>24</v>
      </c>
      <c r="J78" s="248"/>
      <c r="K78" s="260" t="s">
        <v>24</v>
      </c>
      <c r="L78" s="248"/>
    </row>
    <row r="79">
      <c r="A79" s="32"/>
      <c r="B79" s="102" t="s">
        <v>244</v>
      </c>
      <c r="C79" s="106" t="s">
        <v>245</v>
      </c>
      <c r="D79" s="10"/>
      <c r="E79" s="245" t="s">
        <v>248</v>
      </c>
      <c r="F79" s="237" t="s">
        <v>411</v>
      </c>
      <c r="G79" s="248"/>
      <c r="H79" s="260"/>
      <c r="I79" s="260" t="s">
        <v>24</v>
      </c>
      <c r="J79" s="248"/>
      <c r="K79" s="260" t="s">
        <v>24</v>
      </c>
      <c r="L79" s="248"/>
    </row>
    <row r="80">
      <c r="A80" s="32"/>
      <c r="B80" s="32"/>
      <c r="C80" s="123" t="s">
        <v>247</v>
      </c>
      <c r="D80" s="10"/>
      <c r="E80" s="245" t="s">
        <v>248</v>
      </c>
      <c r="F80" s="213" t="s">
        <v>207</v>
      </c>
      <c r="G80" s="248"/>
      <c r="H80" s="260"/>
      <c r="I80" s="260" t="s">
        <v>24</v>
      </c>
      <c r="J80" s="248"/>
      <c r="K80" s="260" t="s">
        <v>24</v>
      </c>
      <c r="L80" s="248"/>
    </row>
    <row r="81">
      <c r="A81" s="32"/>
      <c r="B81" s="32"/>
      <c r="C81" s="123" t="s">
        <v>249</v>
      </c>
      <c r="D81" s="10"/>
      <c r="E81" s="10"/>
      <c r="F81" s="213" t="s">
        <v>250</v>
      </c>
      <c r="G81" s="248"/>
      <c r="H81" s="260"/>
      <c r="I81" s="260" t="s">
        <v>24</v>
      </c>
      <c r="J81" s="248"/>
      <c r="K81" s="260" t="s">
        <v>24</v>
      </c>
      <c r="L81" s="248"/>
    </row>
    <row r="82">
      <c r="A82" s="32"/>
      <c r="B82" s="32"/>
      <c r="C82" s="103" t="s">
        <v>251</v>
      </c>
      <c r="D82" s="10"/>
      <c r="E82" s="10"/>
      <c r="F82" s="213" t="s">
        <v>252</v>
      </c>
      <c r="G82" s="248"/>
      <c r="H82" s="260"/>
      <c r="I82" s="260" t="s">
        <v>24</v>
      </c>
      <c r="J82" s="248"/>
      <c r="K82" s="260" t="s">
        <v>24</v>
      </c>
      <c r="L82" s="328"/>
    </row>
    <row r="83">
      <c r="A83" s="32"/>
      <c r="B83" s="32"/>
      <c r="C83" s="106" t="s">
        <v>253</v>
      </c>
      <c r="D83" s="10"/>
      <c r="E83" s="10"/>
      <c r="F83" s="213" t="s">
        <v>254</v>
      </c>
      <c r="G83" s="248"/>
      <c r="H83" s="260"/>
      <c r="I83" s="260" t="s">
        <v>24</v>
      </c>
      <c r="J83" s="248"/>
      <c r="K83" s="260" t="s">
        <v>24</v>
      </c>
      <c r="L83" s="248"/>
    </row>
    <row r="84">
      <c r="A84" s="32"/>
      <c r="B84" s="32"/>
      <c r="C84" s="106" t="s">
        <v>255</v>
      </c>
      <c r="D84" s="10"/>
      <c r="E84" s="10"/>
      <c r="F84" s="213" t="s">
        <v>256</v>
      </c>
      <c r="G84" s="248"/>
      <c r="H84" s="260"/>
      <c r="I84" s="260" t="s">
        <v>24</v>
      </c>
      <c r="J84" s="248"/>
      <c r="K84" s="260" t="s">
        <v>24</v>
      </c>
      <c r="L84" s="248"/>
    </row>
    <row r="85">
      <c r="A85" s="32"/>
      <c r="B85" s="32"/>
      <c r="C85" s="93" t="s">
        <v>257</v>
      </c>
      <c r="D85" s="10"/>
      <c r="E85" s="10"/>
      <c r="F85" s="17"/>
      <c r="G85" s="248"/>
      <c r="H85" s="260"/>
      <c r="I85" s="260" t="s">
        <v>24</v>
      </c>
      <c r="J85" s="248"/>
      <c r="K85" s="260" t="s">
        <v>24</v>
      </c>
      <c r="L85" s="248"/>
    </row>
    <row r="86">
      <c r="A86" s="32"/>
      <c r="B86" s="32"/>
      <c r="C86" s="93" t="s">
        <v>258</v>
      </c>
      <c r="D86" s="10"/>
      <c r="E86" s="10"/>
      <c r="F86" s="213" t="s">
        <v>259</v>
      </c>
      <c r="G86" s="248"/>
      <c r="H86" s="260"/>
      <c r="I86" s="260" t="s">
        <v>24</v>
      </c>
      <c r="J86" s="248"/>
      <c r="K86" s="260" t="s">
        <v>24</v>
      </c>
      <c r="L86" s="328"/>
    </row>
    <row r="87">
      <c r="A87" s="37"/>
      <c r="B87" s="37"/>
      <c r="C87" s="103" t="s">
        <v>521</v>
      </c>
      <c r="D87" s="10"/>
      <c r="E87" s="10"/>
      <c r="F87" s="17"/>
      <c r="G87" s="248"/>
      <c r="H87" s="260"/>
      <c r="I87" s="260" t="s">
        <v>24</v>
      </c>
      <c r="J87" s="248"/>
      <c r="K87" s="260" t="s">
        <v>24</v>
      </c>
      <c r="L87" s="328"/>
    </row>
    <row r="88">
      <c r="A88" s="154"/>
      <c r="B88" s="154"/>
      <c r="C88" s="142" t="s">
        <v>421</v>
      </c>
      <c r="E88" s="245" t="s">
        <v>96</v>
      </c>
      <c r="F88" s="240"/>
      <c r="G88" s="248"/>
      <c r="H88" s="260"/>
      <c r="I88" s="260" t="s">
        <v>24</v>
      </c>
      <c r="J88" s="248"/>
      <c r="K88" s="260" t="s">
        <v>24</v>
      </c>
      <c r="L88" s="248"/>
    </row>
    <row r="89">
      <c r="A89" s="154"/>
      <c r="B89" s="154"/>
      <c r="C89" s="142" t="s">
        <v>265</v>
      </c>
      <c r="D89" s="10"/>
      <c r="E89" s="256" t="s">
        <v>540</v>
      </c>
      <c r="F89" s="240"/>
      <c r="G89" s="248"/>
      <c r="H89" s="260"/>
      <c r="I89" s="260" t="s">
        <v>24</v>
      </c>
      <c r="J89" s="248"/>
      <c r="K89" s="260" t="s">
        <v>24</v>
      </c>
      <c r="L89" s="248"/>
    </row>
    <row r="90">
      <c r="A90" s="154"/>
      <c r="B90" s="154">
        <v>90.0</v>
      </c>
      <c r="C90" s="154" t="s">
        <v>541</v>
      </c>
      <c r="D90" s="154"/>
      <c r="E90" s="154"/>
      <c r="F90" s="142" t="s">
        <v>276</v>
      </c>
      <c r="G90" s="200">
        <v>0.0</v>
      </c>
      <c r="H90" s="200">
        <v>0.0</v>
      </c>
      <c r="I90" s="200">
        <v>100.0</v>
      </c>
      <c r="J90" s="200">
        <v>0.0</v>
      </c>
      <c r="K90" s="200">
        <v>100.0</v>
      </c>
      <c r="L90" s="200">
        <v>0.0</v>
      </c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>
      <c r="A95" s="79" t="s">
        <v>542</v>
      </c>
      <c r="B95" s="152"/>
      <c r="C95" s="152"/>
      <c r="D95" s="153"/>
      <c r="E95" s="10"/>
      <c r="F95" s="10"/>
      <c r="G95" s="10"/>
      <c r="H95" s="10"/>
      <c r="I95" s="10"/>
      <c r="J95" s="10"/>
      <c r="K95" s="10"/>
      <c r="L95" s="10"/>
    </row>
    <row r="96">
      <c r="A96" s="154"/>
      <c r="B96" s="155" t="s">
        <v>5</v>
      </c>
      <c r="C96" s="155" t="s">
        <v>277</v>
      </c>
      <c r="D96" s="155" t="s">
        <v>7</v>
      </c>
      <c r="E96" s="10"/>
      <c r="F96" s="10"/>
      <c r="G96" s="10"/>
      <c r="H96" s="10"/>
      <c r="I96" s="10"/>
      <c r="J96" s="10"/>
      <c r="K96" s="10"/>
      <c r="L96" s="10"/>
    </row>
    <row r="97">
      <c r="A97" s="155" t="s">
        <v>278</v>
      </c>
      <c r="B97" s="154">
        <v>0.0</v>
      </c>
      <c r="C97" s="154">
        <v>0.0</v>
      </c>
      <c r="D97" s="154">
        <v>73.0</v>
      </c>
      <c r="E97" s="10"/>
      <c r="F97" s="10"/>
      <c r="G97" s="10"/>
      <c r="H97" s="10"/>
      <c r="I97" s="10"/>
      <c r="J97" s="10"/>
      <c r="K97" s="10"/>
      <c r="L97" s="10"/>
    </row>
    <row r="98">
      <c r="A98" s="155" t="s">
        <v>279</v>
      </c>
      <c r="B98" s="154">
        <v>0.0</v>
      </c>
      <c r="C98" s="154">
        <v>0.0</v>
      </c>
      <c r="D98" s="154">
        <v>5.0</v>
      </c>
      <c r="E98" s="10"/>
      <c r="F98" s="10"/>
      <c r="G98" s="10"/>
      <c r="H98" s="10"/>
      <c r="I98" s="10"/>
      <c r="J98" s="10"/>
      <c r="K98" s="10"/>
      <c r="L98" s="10"/>
    </row>
    <row r="99">
      <c r="A99" s="155" t="s">
        <v>280</v>
      </c>
      <c r="B99" s="154">
        <v>0.0</v>
      </c>
      <c r="C99" s="154">
        <v>0.0</v>
      </c>
      <c r="D99" s="154">
        <v>2.0</v>
      </c>
      <c r="E99" s="10"/>
      <c r="F99" s="10"/>
      <c r="G99" s="10"/>
      <c r="H99" s="10"/>
      <c r="I99" s="10"/>
      <c r="J99" s="10"/>
      <c r="K99" s="10"/>
      <c r="L99" s="10"/>
    </row>
    <row r="100">
      <c r="A100" s="155" t="s">
        <v>281</v>
      </c>
      <c r="B100" s="154">
        <v>0.0</v>
      </c>
      <c r="C100" s="154">
        <v>0.0</v>
      </c>
      <c r="D100" s="154">
        <v>0.0</v>
      </c>
      <c r="E100" s="10"/>
      <c r="F100" s="10"/>
      <c r="G100" s="10"/>
      <c r="H100" s="10"/>
      <c r="I100" s="10"/>
      <c r="J100" s="10"/>
      <c r="K100" s="10"/>
      <c r="L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>
      <c r="A103" s="334" t="s">
        <v>282</v>
      </c>
      <c r="B103" s="335"/>
      <c r="C103" s="335"/>
      <c r="D103" s="335"/>
      <c r="E103" s="335"/>
      <c r="F103" s="10"/>
      <c r="G103" s="10"/>
      <c r="H103" s="10"/>
      <c r="I103" s="10"/>
      <c r="J103" s="10"/>
      <c r="K103" s="10"/>
      <c r="L103" s="10"/>
    </row>
    <row r="104">
      <c r="A104" s="157" t="s">
        <v>8</v>
      </c>
      <c r="B104" s="158"/>
      <c r="C104" s="158"/>
      <c r="D104" s="158"/>
      <c r="E104" s="157" t="s">
        <v>283</v>
      </c>
      <c r="F104" s="10"/>
      <c r="G104" s="10"/>
      <c r="H104" s="10"/>
      <c r="I104" s="10"/>
      <c r="J104" s="10"/>
      <c r="K104" s="10"/>
      <c r="L104" s="10"/>
    </row>
    <row r="105">
      <c r="A105" s="159" t="s">
        <v>284</v>
      </c>
      <c r="B105" s="158"/>
      <c r="C105" s="158"/>
      <c r="D105" s="158"/>
      <c r="E105" s="160" t="s">
        <v>24</v>
      </c>
      <c r="F105" s="10"/>
      <c r="G105" s="10"/>
      <c r="H105" s="10"/>
      <c r="I105" s="10"/>
      <c r="J105" s="10"/>
      <c r="K105" s="10"/>
      <c r="L105" s="10"/>
    </row>
    <row r="106">
      <c r="A106" s="161" t="s">
        <v>285</v>
      </c>
      <c r="B106" s="158"/>
      <c r="C106" s="158"/>
      <c r="D106" s="158"/>
      <c r="E106" s="162" t="s">
        <v>12</v>
      </c>
      <c r="F106" s="10"/>
      <c r="G106" s="10"/>
      <c r="H106" s="10"/>
      <c r="I106" s="10"/>
      <c r="J106" s="10"/>
      <c r="K106" s="10"/>
      <c r="L106" s="10"/>
    </row>
    <row r="107">
      <c r="A107" s="178" t="s">
        <v>543</v>
      </c>
      <c r="B107" s="158"/>
      <c r="C107" s="158"/>
      <c r="D107" s="158"/>
      <c r="E107" s="164" t="s">
        <v>287</v>
      </c>
      <c r="F107" s="10"/>
      <c r="G107" s="10"/>
      <c r="H107" s="10"/>
      <c r="I107" s="10"/>
      <c r="J107" s="10"/>
      <c r="K107" s="10"/>
      <c r="L107" s="10"/>
    </row>
    <row r="108">
      <c r="A108" s="163" t="s">
        <v>286</v>
      </c>
      <c r="B108" s="158"/>
      <c r="C108" s="158"/>
      <c r="D108" s="158"/>
      <c r="E108" s="166" t="s">
        <v>10</v>
      </c>
      <c r="F108" s="10"/>
      <c r="G108" s="10"/>
      <c r="H108" s="10"/>
      <c r="I108" s="10"/>
      <c r="J108" s="10"/>
      <c r="K108" s="10"/>
      <c r="L108" s="10"/>
    </row>
    <row r="109">
      <c r="A109" s="165" t="s">
        <v>288</v>
      </c>
      <c r="B109" s="158"/>
      <c r="C109" s="158"/>
      <c r="D109" s="158"/>
      <c r="E109" s="168" t="s">
        <v>290</v>
      </c>
      <c r="F109" s="10"/>
      <c r="G109" s="10"/>
      <c r="H109" s="10"/>
      <c r="I109" s="10"/>
      <c r="J109" s="10"/>
      <c r="K109" s="10"/>
      <c r="L109" s="10"/>
    </row>
    <row r="110">
      <c r="A110" s="167" t="s">
        <v>544</v>
      </c>
      <c r="B110" s="158"/>
      <c r="C110" s="158"/>
      <c r="D110" s="158"/>
      <c r="E110" s="170" t="s">
        <v>292</v>
      </c>
      <c r="F110" s="10"/>
      <c r="G110" s="10"/>
      <c r="H110" s="10"/>
      <c r="I110" s="10"/>
      <c r="J110" s="10"/>
      <c r="K110" s="10"/>
      <c r="L110" s="10"/>
    </row>
    <row r="111">
      <c r="A111" s="169" t="s">
        <v>291</v>
      </c>
      <c r="B111" s="158"/>
      <c r="C111" s="158"/>
      <c r="D111" s="158"/>
      <c r="E111" s="172" t="s">
        <v>294</v>
      </c>
      <c r="F111" s="10"/>
      <c r="G111" s="10"/>
      <c r="H111" s="10"/>
      <c r="I111" s="10"/>
      <c r="J111" s="10"/>
      <c r="K111" s="10"/>
      <c r="L111" s="10"/>
    </row>
    <row r="112">
      <c r="A112" s="175" t="s">
        <v>296</v>
      </c>
      <c r="B112" s="158"/>
      <c r="C112" s="158"/>
      <c r="D112" s="158"/>
      <c r="E112" s="174" t="s">
        <v>11</v>
      </c>
      <c r="F112" s="10"/>
      <c r="G112" s="10"/>
      <c r="H112" s="10"/>
      <c r="I112" s="10"/>
      <c r="J112" s="10"/>
      <c r="K112" s="10"/>
      <c r="L112" s="10"/>
    </row>
    <row r="113">
      <c r="A113" s="173" t="s">
        <v>295</v>
      </c>
      <c r="B113" s="158"/>
      <c r="C113" s="158"/>
      <c r="D113" s="158"/>
      <c r="E113" s="176" t="s">
        <v>545</v>
      </c>
      <c r="F113" s="10"/>
      <c r="G113" s="10"/>
      <c r="H113" s="10"/>
      <c r="I113" s="10"/>
      <c r="J113" s="10"/>
      <c r="K113" s="10"/>
      <c r="L113" s="10"/>
    </row>
    <row r="114">
      <c r="A114" s="325" t="s">
        <v>501</v>
      </c>
      <c r="B114" s="158"/>
      <c r="C114" s="158"/>
      <c r="D114" s="158"/>
      <c r="E114" s="158"/>
      <c r="F114" s="10"/>
      <c r="G114" s="10"/>
      <c r="H114" s="10"/>
      <c r="I114" s="10"/>
      <c r="J114" s="10"/>
      <c r="K114" s="10"/>
      <c r="L114" s="10"/>
    </row>
    <row r="115">
      <c r="A115" s="177" t="s">
        <v>297</v>
      </c>
      <c r="B115" s="158"/>
      <c r="C115" s="158"/>
      <c r="D115" s="158"/>
      <c r="E115" s="158"/>
      <c r="F115" s="10"/>
      <c r="G115" s="10"/>
      <c r="H115" s="10"/>
      <c r="I115" s="10"/>
      <c r="J115" s="10"/>
      <c r="K115" s="10"/>
      <c r="L115" s="10"/>
    </row>
    <row r="116">
      <c r="A116" s="336" t="s">
        <v>300</v>
      </c>
      <c r="B116" s="158"/>
      <c r="C116" s="158"/>
      <c r="D116" s="158"/>
      <c r="E116" s="158"/>
      <c r="F116" s="10"/>
      <c r="G116" s="10"/>
      <c r="H116" s="10"/>
      <c r="I116" s="10"/>
      <c r="J116" s="10"/>
      <c r="K116" s="10"/>
      <c r="L116" s="10"/>
    </row>
    <row r="117">
      <c r="A117" s="181" t="s">
        <v>301</v>
      </c>
      <c r="B117" s="158"/>
      <c r="C117" s="158"/>
      <c r="D117" s="158"/>
      <c r="E117" s="158"/>
      <c r="F117" s="10"/>
      <c r="G117" s="10"/>
      <c r="H117" s="10"/>
      <c r="I117" s="10"/>
      <c r="J117" s="10"/>
      <c r="K117" s="10"/>
      <c r="L117" s="10"/>
    </row>
    <row r="118">
      <c r="A118" s="337" t="s">
        <v>546</v>
      </c>
      <c r="B118" s="158"/>
      <c r="C118" s="158"/>
      <c r="D118" s="158"/>
      <c r="E118" s="158"/>
      <c r="F118" s="10"/>
      <c r="G118" s="10"/>
      <c r="H118" s="10"/>
      <c r="I118" s="10"/>
      <c r="J118" s="10"/>
      <c r="K118" s="10"/>
      <c r="L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</sheetData>
  <mergeCells count="15">
    <mergeCell ref="B33:B45"/>
    <mergeCell ref="B46:B50"/>
    <mergeCell ref="B51:B69"/>
    <mergeCell ref="B70:B74"/>
    <mergeCell ref="B75:B78"/>
    <mergeCell ref="B79:B87"/>
    <mergeCell ref="A95:D95"/>
    <mergeCell ref="A103:E103"/>
    <mergeCell ref="G1:I1"/>
    <mergeCell ref="J1:L1"/>
    <mergeCell ref="A6:A17"/>
    <mergeCell ref="B6:B15"/>
    <mergeCell ref="B16:B17"/>
    <mergeCell ref="A18:A87"/>
    <mergeCell ref="B18:B32"/>
  </mergeCells>
  <conditionalFormatting sqref="B3:D3 G4:L4 I49 I67">
    <cfRule type="cellIs" dxfId="14" priority="1" stopIfTrue="1" operator="equal">
      <formula>"Anu"</formula>
    </cfRule>
  </conditionalFormatting>
  <conditionalFormatting sqref="B3:D3 G4:L4 I49 I67">
    <cfRule type="cellIs" dxfId="0" priority="2" stopIfTrue="1" operator="equal">
      <formula>"Amrita"</formula>
    </cfRule>
  </conditionalFormatting>
  <conditionalFormatting sqref="B3:D3 G4:L4 I49 I67">
    <cfRule type="cellIs" dxfId="1" priority="3" stopIfTrue="1" operator="equal">
      <formula>"Gourav"</formula>
    </cfRule>
  </conditionalFormatting>
  <conditionalFormatting sqref="B3:D3 G4:L4 I49 I67">
    <cfRule type="cellIs" dxfId="2" priority="4" stopIfTrue="1" operator="equal">
      <formula>"Hannah"</formula>
    </cfRule>
  </conditionalFormatting>
  <conditionalFormatting sqref="B3:D3 G4:L4 I49 I67">
    <cfRule type="cellIs" dxfId="4" priority="5" stopIfTrue="1" operator="equal">
      <formula>"Nitin"</formula>
    </cfRule>
  </conditionalFormatting>
  <conditionalFormatting sqref="B3:D3 G4:L4 I49 I67">
    <cfRule type="cellIs" dxfId="5" priority="6" stopIfTrue="1" operator="equal">
      <formula>"Ramakrishna"</formula>
    </cfRule>
  </conditionalFormatting>
  <conditionalFormatting sqref="B3:D3 G4:L4 I49 I67">
    <cfRule type="cellIs" dxfId="6" priority="7" stopIfTrue="1" operator="equal">
      <formula>"Sriram"</formula>
    </cfRule>
  </conditionalFormatting>
  <conditionalFormatting sqref="B3:D3 G4:L4 I49 I67">
    <cfRule type="cellIs" dxfId="7" priority="8" stopIfTrue="1" operator="equal">
      <formula>"Saheli"</formula>
    </cfRule>
  </conditionalFormatting>
  <conditionalFormatting sqref="B3:D3 G4:L4 I49 I67">
    <cfRule type="cellIs" dxfId="8" priority="9" stopIfTrue="1" operator="equal">
      <formula>"Kavya"</formula>
    </cfRule>
  </conditionalFormatting>
  <conditionalFormatting sqref="B3:D3 G4:L4 I49 I67">
    <cfRule type="cellIs" dxfId="9" priority="10" stopIfTrue="1" operator="equal">
      <formula>"Vishnu"</formula>
    </cfRule>
  </conditionalFormatting>
  <conditionalFormatting sqref="B3:D3 G4:L4 I49 I67">
    <cfRule type="cellIs" dxfId="10" priority="11" stopIfTrue="1" operator="equal">
      <formula>"Ivy"</formula>
    </cfRule>
  </conditionalFormatting>
  <conditionalFormatting sqref="B3:D3 G4:L4 I49 I67">
    <cfRule type="cellIs" dxfId="11" priority="12" stopIfTrue="1" operator="equal">
      <formula>"Rupal"</formula>
    </cfRule>
  </conditionalFormatting>
  <conditionalFormatting sqref="B3:D3 G4:L4 I49 I67">
    <cfRule type="cellIs" dxfId="25" priority="13" stopIfTrue="1" operator="equal">
      <formula>"Utkarsh"</formula>
    </cfRule>
  </conditionalFormatting>
  <conditionalFormatting sqref="G6:G89 H6:H37 J6:L89 I7 I9:I89 H39:H89">
    <cfRule type="cellIs" dxfId="16" priority="14" stopIfTrue="1" operator="equal">
      <formula>"OK"</formula>
    </cfRule>
  </conditionalFormatting>
  <conditionalFormatting sqref="B3:D3 G4:L4 G6:G89 H6:H37 J6:L89 I7 I9:I89 H39:H89">
    <cfRule type="cellIs" dxfId="18" priority="15" stopIfTrue="1" operator="equal">
      <formula>"Not Tested"</formula>
    </cfRule>
  </conditionalFormatting>
  <conditionalFormatting sqref="G6:G89 H6:H37 J6:L89 I7 I9:I89 H39:H89">
    <cfRule type="cellIs" dxfId="19" priority="16" stopIfTrue="1" operator="equal">
      <formula>"N/A"</formula>
    </cfRule>
  </conditionalFormatting>
  <conditionalFormatting sqref="B2:D2 G3:L3">
    <cfRule type="containsText" dxfId="20" priority="17" stopIfTrue="1" operator="containsText" text="Incomplete">
      <formula>NOT(ISERROR(SEARCH(("Incomplete"),(B2))))</formula>
    </cfRule>
  </conditionalFormatting>
  <conditionalFormatting sqref="B2:D2 G3:L3">
    <cfRule type="containsText" dxfId="17" priority="18" stopIfTrue="1" operator="containsText" text="Broken">
      <formula>NOT(ISERROR(SEARCH(("Broken"),(B2))))</formula>
    </cfRule>
  </conditionalFormatting>
  <conditionalFormatting sqref="B2:D2 G3:L3">
    <cfRule type="containsText" dxfId="21" priority="19" stopIfTrue="1" operator="containsText" text="Some problems">
      <formula>NOT(ISERROR(SEARCH(("Some problems"),(B2))))</formula>
    </cfRule>
  </conditionalFormatting>
  <conditionalFormatting sqref="B2:D2 G3:L3">
    <cfRule type="containsText" dxfId="22" priority="20" stopIfTrue="1" operator="containsText" text="All OK">
      <formula>NOT(ISERROR(SEARCH(("All OK"),(B2))))</formula>
    </cfRule>
  </conditionalFormatting>
  <conditionalFormatting sqref="B2:D2 G3:L3">
    <cfRule type="containsText" dxfId="23" priority="21" stopIfTrue="1" operator="containsText" text="In Progress">
      <formula>NOT(ISERROR(SEARCH(("In Progress"),(B2))))</formula>
    </cfRule>
  </conditionalFormatting>
  <conditionalFormatting sqref="B2:D2 G3:L3">
    <cfRule type="containsText" dxfId="24" priority="22" stopIfTrue="1" operator="containsText" text="Not Tested">
      <formula>NOT(ISERROR(SEARCH(("Not Tested"),(B2))))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547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547</v>
      </c>
      <c r="H1" s="6"/>
      <c r="I1" s="7"/>
      <c r="J1" s="5" t="s">
        <v>548</v>
      </c>
      <c r="K1" s="6"/>
      <c r="L1" s="7"/>
    </row>
    <row r="2">
      <c r="A2" s="8"/>
      <c r="B2" s="9" t="s">
        <v>12</v>
      </c>
      <c r="C2" s="9" t="s">
        <v>12</v>
      </c>
      <c r="D2" s="9" t="s">
        <v>549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</row>
    <row r="3">
      <c r="A3" s="13" t="s">
        <v>8</v>
      </c>
      <c r="B3" s="9" t="s">
        <v>12</v>
      </c>
      <c r="C3" s="9" t="s">
        <v>12</v>
      </c>
      <c r="D3" s="9" t="s">
        <v>291</v>
      </c>
      <c r="E3" s="10"/>
      <c r="F3" s="14" t="s">
        <v>9</v>
      </c>
      <c r="G3" s="15" t="s">
        <v>12</v>
      </c>
      <c r="H3" s="15" t="s">
        <v>12</v>
      </c>
      <c r="I3" s="15" t="s">
        <v>292</v>
      </c>
      <c r="J3" s="15" t="s">
        <v>10</v>
      </c>
      <c r="K3" s="15" t="s">
        <v>10</v>
      </c>
      <c r="L3" s="15" t="s">
        <v>292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12</v>
      </c>
      <c r="I4" s="15" t="s">
        <v>291</v>
      </c>
      <c r="J4" s="15" t="s">
        <v>12</v>
      </c>
      <c r="K4" s="15" t="s">
        <v>12</v>
      </c>
      <c r="L4" s="15" t="s">
        <v>297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2"/>
      <c r="J5" s="21"/>
      <c r="K5" s="21"/>
      <c r="L5" s="22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48" t="s">
        <v>12</v>
      </c>
      <c r="H6" s="260" t="s">
        <v>12</v>
      </c>
      <c r="I6" s="248" t="s">
        <v>24</v>
      </c>
      <c r="J6" s="248"/>
      <c r="K6" s="260"/>
      <c r="L6" s="338" t="s">
        <v>550</v>
      </c>
    </row>
    <row r="7">
      <c r="A7" s="32"/>
      <c r="B7" s="32"/>
      <c r="C7" s="91" t="s">
        <v>345</v>
      </c>
      <c r="D7" s="10"/>
      <c r="E7" s="247" t="s">
        <v>383</v>
      </c>
      <c r="F7" s="17"/>
      <c r="G7" s="248" t="s">
        <v>12</v>
      </c>
      <c r="H7" s="260" t="s">
        <v>12</v>
      </c>
      <c r="I7" s="248" t="s">
        <v>24</v>
      </c>
      <c r="J7" s="248"/>
      <c r="K7" s="262"/>
      <c r="L7" s="339" t="s">
        <v>551</v>
      </c>
    </row>
    <row r="8">
      <c r="A8" s="32"/>
      <c r="B8" s="32"/>
      <c r="C8" s="91" t="s">
        <v>347</v>
      </c>
      <c r="D8" s="10"/>
      <c r="E8" s="249" t="s">
        <v>308</v>
      </c>
      <c r="F8" s="17"/>
      <c r="G8" s="248" t="s">
        <v>12</v>
      </c>
      <c r="H8" s="260" t="s">
        <v>12</v>
      </c>
      <c r="I8" s="248" t="s">
        <v>24</v>
      </c>
      <c r="J8" s="328"/>
      <c r="K8" s="340"/>
      <c r="L8" s="341" t="s">
        <v>552</v>
      </c>
    </row>
    <row r="9">
      <c r="A9" s="32"/>
      <c r="B9" s="32"/>
      <c r="C9" s="87" t="s">
        <v>348</v>
      </c>
      <c r="D9" s="10"/>
      <c r="E9" s="245" t="s">
        <v>77</v>
      </c>
      <c r="F9" s="17"/>
      <c r="G9" s="248" t="s">
        <v>12</v>
      </c>
      <c r="H9" s="260" t="s">
        <v>12</v>
      </c>
      <c r="I9" s="248" t="s">
        <v>24</v>
      </c>
      <c r="J9" s="248"/>
      <c r="K9" s="274"/>
      <c r="L9" s="248"/>
    </row>
    <row r="10">
      <c r="A10" s="32"/>
      <c r="B10" s="32"/>
      <c r="C10" s="77" t="s">
        <v>481</v>
      </c>
      <c r="D10" s="10"/>
      <c r="E10" s="245" t="s">
        <v>100</v>
      </c>
      <c r="F10" s="17"/>
      <c r="G10" s="248" t="s">
        <v>12</v>
      </c>
      <c r="H10" s="260" t="s">
        <v>12</v>
      </c>
      <c r="I10" s="248" t="s">
        <v>24</v>
      </c>
      <c r="J10" s="248"/>
      <c r="K10" s="274"/>
      <c r="L10" s="248"/>
    </row>
    <row r="11">
      <c r="A11" s="32"/>
      <c r="B11" s="32"/>
      <c r="C11" s="77" t="s">
        <v>354</v>
      </c>
      <c r="D11" s="10"/>
      <c r="E11" s="10"/>
      <c r="F11" s="213" t="s">
        <v>83</v>
      </c>
      <c r="G11" s="248" t="s">
        <v>12</v>
      </c>
      <c r="H11" s="260" t="s">
        <v>12</v>
      </c>
      <c r="I11" s="248" t="s">
        <v>24</v>
      </c>
      <c r="J11" s="248"/>
      <c r="K11" s="262"/>
      <c r="L11" s="248" t="s">
        <v>24</v>
      </c>
    </row>
    <row r="12">
      <c r="A12" s="32"/>
      <c r="B12" s="32"/>
      <c r="C12" s="85" t="s">
        <v>527</v>
      </c>
      <c r="D12" s="10"/>
      <c r="E12" s="245" t="s">
        <v>34</v>
      </c>
      <c r="F12" s="17"/>
      <c r="G12" s="248" t="s">
        <v>12</v>
      </c>
      <c r="H12" s="260" t="s">
        <v>12</v>
      </c>
      <c r="I12" s="328" t="s">
        <v>24</v>
      </c>
      <c r="J12" s="248"/>
      <c r="K12" s="262"/>
      <c r="L12" s="342" t="s">
        <v>553</v>
      </c>
    </row>
    <row r="13">
      <c r="A13" s="32"/>
      <c r="B13" s="32"/>
      <c r="C13" s="77" t="s">
        <v>357</v>
      </c>
      <c r="D13" s="10"/>
      <c r="E13" s="245" t="s">
        <v>34</v>
      </c>
      <c r="F13" s="17"/>
      <c r="G13" s="248" t="s">
        <v>12</v>
      </c>
      <c r="H13" s="260" t="s">
        <v>12</v>
      </c>
      <c r="I13" s="248" t="s">
        <v>24</v>
      </c>
      <c r="J13" s="248"/>
      <c r="K13" s="262"/>
      <c r="L13" s="248" t="s">
        <v>24</v>
      </c>
    </row>
    <row r="14">
      <c r="A14" s="32"/>
      <c r="B14" s="37"/>
      <c r="C14" s="77" t="s">
        <v>396</v>
      </c>
      <c r="D14" s="10"/>
      <c r="E14" s="245" t="s">
        <v>100</v>
      </c>
      <c r="F14" s="213" t="s">
        <v>103</v>
      </c>
      <c r="G14" s="248" t="s">
        <v>12</v>
      </c>
      <c r="H14" s="260" t="s">
        <v>12</v>
      </c>
      <c r="I14" s="248" t="s">
        <v>24</v>
      </c>
      <c r="J14" s="248"/>
      <c r="K14" s="262"/>
      <c r="L14" s="248"/>
    </row>
    <row r="15">
      <c r="A15" s="32"/>
      <c r="B15" s="216" t="s">
        <v>362</v>
      </c>
      <c r="C15" s="204" t="s">
        <v>363</v>
      </c>
      <c r="D15" s="10"/>
      <c r="E15" s="10"/>
      <c r="F15" s="213" t="s">
        <v>364</v>
      </c>
      <c r="G15" s="248" t="s">
        <v>12</v>
      </c>
      <c r="H15" s="260" t="s">
        <v>12</v>
      </c>
      <c r="I15" s="248" t="s">
        <v>24</v>
      </c>
      <c r="J15" s="328"/>
      <c r="K15" s="274"/>
      <c r="L15" s="248"/>
    </row>
    <row r="16">
      <c r="A16" s="32"/>
      <c r="B16" s="37"/>
      <c r="C16" s="329" t="s">
        <v>529</v>
      </c>
      <c r="D16" s="10"/>
      <c r="E16" s="10"/>
      <c r="F16" s="213" t="s">
        <v>530</v>
      </c>
      <c r="G16" s="248" t="s">
        <v>12</v>
      </c>
      <c r="H16" s="260" t="s">
        <v>12</v>
      </c>
      <c r="I16" s="248" t="s">
        <v>24</v>
      </c>
      <c r="J16" s="248"/>
      <c r="K16" s="343"/>
      <c r="L16" s="248"/>
    </row>
    <row r="17">
      <c r="A17" s="203" t="s">
        <v>108</v>
      </c>
      <c r="B17" s="102" t="s">
        <v>109</v>
      </c>
      <c r="C17" s="77" t="s">
        <v>110</v>
      </c>
      <c r="D17" s="10"/>
      <c r="E17" s="10"/>
      <c r="F17" s="17"/>
      <c r="G17" s="248" t="s">
        <v>12</v>
      </c>
      <c r="H17" s="260" t="s">
        <v>12</v>
      </c>
      <c r="I17" s="248" t="s">
        <v>24</v>
      </c>
      <c r="J17" s="248"/>
      <c r="K17" s="262"/>
      <c r="L17" s="248"/>
    </row>
    <row r="18">
      <c r="A18" s="32"/>
      <c r="B18" s="32"/>
      <c r="C18" s="77" t="s">
        <v>112</v>
      </c>
      <c r="D18" s="10"/>
      <c r="E18" s="10"/>
      <c r="F18" s="17"/>
      <c r="G18" s="248" t="s">
        <v>12</v>
      </c>
      <c r="H18" s="260" t="s">
        <v>12</v>
      </c>
      <c r="I18" s="344" t="s">
        <v>554</v>
      </c>
      <c r="J18" s="248"/>
      <c r="K18" s="262"/>
      <c r="L18" s="248"/>
    </row>
    <row r="19">
      <c r="A19" s="32"/>
      <c r="B19" s="32"/>
      <c r="C19" s="83" t="s">
        <v>114</v>
      </c>
      <c r="D19" s="10"/>
      <c r="E19" s="243" t="s">
        <v>115</v>
      </c>
      <c r="F19" s="17"/>
      <c r="G19" s="248" t="s">
        <v>12</v>
      </c>
      <c r="H19" s="260" t="s">
        <v>12</v>
      </c>
      <c r="I19" s="328" t="s">
        <v>24</v>
      </c>
      <c r="J19" s="248"/>
      <c r="K19" s="262"/>
      <c r="L19" s="328"/>
    </row>
    <row r="20">
      <c r="A20" s="32"/>
      <c r="B20" s="32"/>
      <c r="C20" s="85" t="s">
        <v>116</v>
      </c>
      <c r="D20" s="10"/>
      <c r="E20" s="10"/>
      <c r="F20" s="213" t="s">
        <v>117</v>
      </c>
      <c r="G20" s="248" t="s">
        <v>12</v>
      </c>
      <c r="H20" s="260" t="s">
        <v>12</v>
      </c>
      <c r="I20" s="248" t="s">
        <v>24</v>
      </c>
      <c r="J20" s="248"/>
      <c r="K20" s="262"/>
      <c r="L20" s="248"/>
    </row>
    <row r="21">
      <c r="A21" s="32"/>
      <c r="B21" s="32"/>
      <c r="C21" s="87" t="s">
        <v>118</v>
      </c>
      <c r="D21" s="10"/>
      <c r="E21" s="252" t="s">
        <v>386</v>
      </c>
      <c r="F21" s="213"/>
      <c r="G21" s="248" t="s">
        <v>12</v>
      </c>
      <c r="H21" s="260" t="s">
        <v>12</v>
      </c>
      <c r="I21" s="248" t="s">
        <v>24</v>
      </c>
      <c r="J21" s="248"/>
      <c r="K21" s="260"/>
      <c r="L21" s="248"/>
    </row>
    <row r="22">
      <c r="A22" s="32"/>
      <c r="B22" s="32"/>
      <c r="C22" s="90" t="s">
        <v>120</v>
      </c>
      <c r="D22" s="10"/>
      <c r="E22" s="252" t="s">
        <v>121</v>
      </c>
      <c r="F22" s="213" t="s">
        <v>122</v>
      </c>
      <c r="G22" s="248" t="s">
        <v>12</v>
      </c>
      <c r="H22" s="260" t="s">
        <v>12</v>
      </c>
      <c r="I22" s="248" t="s">
        <v>24</v>
      </c>
      <c r="J22" s="328"/>
      <c r="K22" s="260"/>
      <c r="L22" s="248"/>
    </row>
    <row r="23">
      <c r="A23" s="32"/>
      <c r="B23" s="32"/>
      <c r="C23" s="91" t="s">
        <v>123</v>
      </c>
      <c r="D23" s="10"/>
      <c r="E23" s="10"/>
      <c r="F23" s="213" t="s">
        <v>124</v>
      </c>
      <c r="G23" s="248" t="s">
        <v>12</v>
      </c>
      <c r="H23" s="260" t="s">
        <v>12</v>
      </c>
      <c r="I23" s="248" t="s">
        <v>24</v>
      </c>
      <c r="J23" s="328"/>
      <c r="K23" s="262"/>
      <c r="L23" s="248"/>
    </row>
    <row r="24">
      <c r="A24" s="32"/>
      <c r="B24" s="32"/>
      <c r="C24" s="92" t="s">
        <v>125</v>
      </c>
      <c r="D24" s="10"/>
      <c r="E24" s="10"/>
      <c r="F24" s="213" t="s">
        <v>126</v>
      </c>
      <c r="G24" s="248" t="s">
        <v>12</v>
      </c>
      <c r="H24" s="260" t="s">
        <v>12</v>
      </c>
      <c r="I24" s="248" t="s">
        <v>24</v>
      </c>
      <c r="J24" s="248"/>
      <c r="K24" s="262"/>
      <c r="L24" s="248"/>
    </row>
    <row r="25">
      <c r="A25" s="32"/>
      <c r="B25" s="32"/>
      <c r="C25" s="77" t="s">
        <v>127</v>
      </c>
      <c r="D25" s="10"/>
      <c r="E25" s="10"/>
      <c r="F25" s="213" t="s">
        <v>128</v>
      </c>
      <c r="G25" s="248" t="s">
        <v>12</v>
      </c>
      <c r="H25" s="260" t="s">
        <v>12</v>
      </c>
      <c r="I25" s="248" t="s">
        <v>24</v>
      </c>
      <c r="J25" s="328"/>
      <c r="K25" s="262"/>
      <c r="L25" s="248"/>
    </row>
    <row r="26">
      <c r="A26" s="32"/>
      <c r="B26" s="32"/>
      <c r="C26" s="93" t="s">
        <v>129</v>
      </c>
      <c r="D26" s="10"/>
      <c r="E26" s="245" t="s">
        <v>313</v>
      </c>
      <c r="F26" s="17"/>
      <c r="G26" s="248" t="s">
        <v>12</v>
      </c>
      <c r="H26" s="260" t="s">
        <v>12</v>
      </c>
      <c r="I26" s="328" t="s">
        <v>24</v>
      </c>
      <c r="J26" s="248"/>
      <c r="K26" s="262"/>
      <c r="L26" s="345" t="s">
        <v>552</v>
      </c>
    </row>
    <row r="27">
      <c r="A27" s="32"/>
      <c r="B27" s="32"/>
      <c r="C27" s="92" t="s">
        <v>368</v>
      </c>
      <c r="D27" s="10"/>
      <c r="E27" s="10"/>
      <c r="F27" s="17"/>
      <c r="G27" s="248" t="s">
        <v>12</v>
      </c>
      <c r="H27" s="260" t="s">
        <v>12</v>
      </c>
      <c r="I27" s="248" t="s">
        <v>24</v>
      </c>
      <c r="J27" s="248"/>
      <c r="K27" s="262"/>
      <c r="L27" s="248"/>
    </row>
    <row r="28">
      <c r="A28" s="32"/>
      <c r="B28" s="32"/>
      <c r="C28" s="98" t="s">
        <v>134</v>
      </c>
      <c r="D28" s="10"/>
      <c r="E28" s="10"/>
      <c r="F28" s="221" t="s">
        <v>136</v>
      </c>
      <c r="G28" s="248" t="s">
        <v>12</v>
      </c>
      <c r="H28" s="260" t="s">
        <v>12</v>
      </c>
      <c r="I28" s="248" t="s">
        <v>24</v>
      </c>
      <c r="J28" s="328"/>
      <c r="K28" s="262"/>
      <c r="L28" s="248"/>
    </row>
    <row r="29">
      <c r="A29" s="32"/>
      <c r="B29" s="32"/>
      <c r="C29" s="92" t="s">
        <v>137</v>
      </c>
      <c r="D29" s="10"/>
      <c r="E29" s="10"/>
      <c r="F29" s="17"/>
      <c r="G29" s="248" t="s">
        <v>12</v>
      </c>
      <c r="H29" s="260" t="s">
        <v>12</v>
      </c>
      <c r="I29" s="331" t="s">
        <v>24</v>
      </c>
      <c r="J29" s="248"/>
      <c r="K29" s="262"/>
      <c r="L29" s="338" t="s">
        <v>550</v>
      </c>
    </row>
    <row r="30">
      <c r="A30" s="32"/>
      <c r="B30" s="32"/>
      <c r="C30" s="92" t="s">
        <v>138</v>
      </c>
      <c r="D30" s="10"/>
      <c r="E30" s="10"/>
      <c r="F30" s="17"/>
      <c r="G30" s="248" t="s">
        <v>12</v>
      </c>
      <c r="H30" s="260" t="s">
        <v>12</v>
      </c>
      <c r="I30" s="248" t="s">
        <v>24</v>
      </c>
      <c r="J30" s="248"/>
      <c r="K30" s="262"/>
      <c r="L30" s="248"/>
    </row>
    <row r="31">
      <c r="A31" s="32"/>
      <c r="B31" s="37"/>
      <c r="C31" s="101" t="s">
        <v>139</v>
      </c>
      <c r="D31" s="10"/>
      <c r="E31" s="10"/>
      <c r="F31" s="17"/>
      <c r="G31" s="248" t="s">
        <v>12</v>
      </c>
      <c r="H31" s="260" t="s">
        <v>12</v>
      </c>
      <c r="I31" s="248" t="s">
        <v>24</v>
      </c>
      <c r="J31" s="248"/>
      <c r="K31" s="262"/>
      <c r="L31" s="248"/>
    </row>
    <row r="32">
      <c r="A32" s="32"/>
      <c r="B32" s="102" t="s">
        <v>140</v>
      </c>
      <c r="C32" s="103" t="s">
        <v>141</v>
      </c>
      <c r="D32" s="245" t="s">
        <v>180</v>
      </c>
      <c r="E32" s="245" t="s">
        <v>453</v>
      </c>
      <c r="F32" s="17"/>
      <c r="G32" s="248" t="s">
        <v>12</v>
      </c>
      <c r="H32" s="260" t="s">
        <v>12</v>
      </c>
      <c r="I32" s="248" t="s">
        <v>24</v>
      </c>
      <c r="J32" s="328"/>
      <c r="K32" s="262"/>
      <c r="L32" s="248"/>
    </row>
    <row r="33">
      <c r="A33" s="32"/>
      <c r="B33" s="32"/>
      <c r="C33" s="93" t="s">
        <v>146</v>
      </c>
      <c r="D33" s="10"/>
      <c r="E33" s="10"/>
      <c r="F33" s="213" t="s">
        <v>147</v>
      </c>
      <c r="G33" s="248" t="s">
        <v>12</v>
      </c>
      <c r="H33" s="260" t="s">
        <v>12</v>
      </c>
      <c r="I33" s="14" t="s">
        <v>555</v>
      </c>
      <c r="J33" s="328"/>
      <c r="K33" s="262"/>
      <c r="L33" s="248"/>
    </row>
    <row r="34">
      <c r="A34" s="32"/>
      <c r="B34" s="32"/>
      <c r="C34" s="107" t="s">
        <v>148</v>
      </c>
      <c r="D34" s="10"/>
      <c r="E34" s="10"/>
      <c r="F34" s="213" t="s">
        <v>149</v>
      </c>
      <c r="G34" s="248" t="s">
        <v>12</v>
      </c>
      <c r="H34" s="260" t="s">
        <v>12</v>
      </c>
      <c r="I34" s="248" t="s">
        <v>24</v>
      </c>
      <c r="J34" s="248"/>
      <c r="K34" s="262"/>
      <c r="L34" s="248"/>
    </row>
    <row r="35">
      <c r="A35" s="32"/>
      <c r="B35" s="32"/>
      <c r="C35" s="108" t="s">
        <v>150</v>
      </c>
      <c r="D35" s="10"/>
      <c r="E35" s="10"/>
      <c r="F35" s="213" t="s">
        <v>149</v>
      </c>
      <c r="G35" s="248" t="s">
        <v>12</v>
      </c>
      <c r="H35" s="260" t="s">
        <v>12</v>
      </c>
      <c r="I35" s="248" t="s">
        <v>24</v>
      </c>
      <c r="J35" s="328"/>
      <c r="K35" s="262"/>
      <c r="L35" s="248"/>
    </row>
    <row r="36">
      <c r="A36" s="32"/>
      <c r="B36" s="32"/>
      <c r="C36" s="307" t="s">
        <v>488</v>
      </c>
      <c r="D36" s="10"/>
      <c r="E36" s="10"/>
      <c r="F36" s="17"/>
      <c r="G36" s="248" t="s">
        <v>12</v>
      </c>
      <c r="H36" s="260" t="s">
        <v>12</v>
      </c>
      <c r="I36" s="328" t="s">
        <v>24</v>
      </c>
      <c r="J36" s="248"/>
      <c r="K36" s="262"/>
      <c r="L36" s="328"/>
    </row>
    <row r="37">
      <c r="A37" s="32"/>
      <c r="B37" s="32"/>
      <c r="C37" s="111" t="s">
        <v>155</v>
      </c>
      <c r="D37" s="10"/>
      <c r="E37" s="10"/>
      <c r="F37" s="221" t="s">
        <v>397</v>
      </c>
      <c r="G37" s="248" t="s">
        <v>12</v>
      </c>
      <c r="H37" s="260" t="s">
        <v>12</v>
      </c>
      <c r="I37" s="221" t="s">
        <v>397</v>
      </c>
      <c r="J37" s="328"/>
      <c r="K37" s="274"/>
      <c r="L37" s="328"/>
    </row>
    <row r="38">
      <c r="A38" s="32"/>
      <c r="B38" s="32"/>
      <c r="C38" s="107" t="s">
        <v>556</v>
      </c>
      <c r="D38" s="10"/>
      <c r="E38" s="10"/>
      <c r="F38" s="17"/>
      <c r="G38" s="248" t="s">
        <v>12</v>
      </c>
      <c r="H38" s="260" t="s">
        <v>12</v>
      </c>
      <c r="I38" s="248" t="s">
        <v>24</v>
      </c>
      <c r="J38" s="248"/>
      <c r="K38" s="343"/>
      <c r="L38" s="248"/>
    </row>
    <row r="39">
      <c r="A39" s="32"/>
      <c r="B39" s="32"/>
      <c r="C39" s="112" t="s">
        <v>157</v>
      </c>
      <c r="D39" s="10"/>
      <c r="E39" s="243" t="s">
        <v>158</v>
      </c>
      <c r="F39" s="17"/>
      <c r="G39" s="248" t="s">
        <v>12</v>
      </c>
      <c r="H39" s="260" t="s">
        <v>12</v>
      </c>
      <c r="I39" s="248" t="s">
        <v>24</v>
      </c>
      <c r="J39" s="248"/>
      <c r="K39" s="262"/>
      <c r="L39" s="248"/>
    </row>
    <row r="40">
      <c r="A40" s="32"/>
      <c r="B40" s="32"/>
      <c r="C40" s="83" t="s">
        <v>159</v>
      </c>
      <c r="D40" s="10"/>
      <c r="E40" s="10"/>
      <c r="F40" s="17"/>
      <c r="G40" s="248" t="s">
        <v>12</v>
      </c>
      <c r="H40" s="260" t="s">
        <v>12</v>
      </c>
      <c r="I40" s="248" t="s">
        <v>24</v>
      </c>
      <c r="J40" s="248"/>
      <c r="K40" s="262"/>
      <c r="L40" s="248"/>
    </row>
    <row r="41">
      <c r="A41" s="32"/>
      <c r="B41" s="32"/>
      <c r="C41" s="93" t="s">
        <v>161</v>
      </c>
      <c r="D41" s="10"/>
      <c r="E41" s="10"/>
      <c r="F41" s="17"/>
      <c r="G41" s="248" t="s">
        <v>12</v>
      </c>
      <c r="H41" s="260" t="s">
        <v>12</v>
      </c>
      <c r="I41" s="328" t="s">
        <v>24</v>
      </c>
      <c r="J41" s="328"/>
      <c r="K41" s="262"/>
      <c r="L41" s="345" t="s">
        <v>557</v>
      </c>
    </row>
    <row r="42">
      <c r="A42" s="32"/>
      <c r="B42" s="32"/>
      <c r="C42" s="93" t="s">
        <v>162</v>
      </c>
      <c r="D42" s="10"/>
      <c r="E42" s="10"/>
      <c r="F42" s="223"/>
      <c r="G42" s="248" t="s">
        <v>12</v>
      </c>
      <c r="H42" s="260" t="s">
        <v>12</v>
      </c>
      <c r="I42" s="248" t="s">
        <v>24</v>
      </c>
      <c r="J42" s="328"/>
      <c r="K42" s="262"/>
      <c r="L42" s="248"/>
    </row>
    <row r="43">
      <c r="A43" s="32"/>
      <c r="B43" s="32"/>
      <c r="C43" s="106" t="s">
        <v>164</v>
      </c>
      <c r="D43" s="10"/>
      <c r="E43" s="10"/>
      <c r="F43" s="224" t="s">
        <v>165</v>
      </c>
      <c r="G43" s="248" t="s">
        <v>12</v>
      </c>
      <c r="H43" s="260" t="s">
        <v>12</v>
      </c>
      <c r="I43" s="248" t="s">
        <v>24</v>
      </c>
      <c r="J43" s="248"/>
      <c r="K43" s="262"/>
      <c r="L43" s="248"/>
    </row>
    <row r="44">
      <c r="A44" s="32"/>
      <c r="B44" s="32"/>
      <c r="C44" s="106" t="s">
        <v>166</v>
      </c>
      <c r="D44" s="10"/>
      <c r="E44" s="10"/>
      <c r="F44" s="213" t="s">
        <v>472</v>
      </c>
      <c r="G44" s="248" t="s">
        <v>12</v>
      </c>
      <c r="H44" s="260" t="s">
        <v>12</v>
      </c>
      <c r="I44" s="248" t="s">
        <v>24</v>
      </c>
      <c r="J44" s="248"/>
      <c r="K44" s="262"/>
      <c r="L44" s="342" t="s">
        <v>558</v>
      </c>
    </row>
    <row r="45">
      <c r="A45" s="32"/>
      <c r="B45" s="37"/>
      <c r="C45" s="93" t="s">
        <v>168</v>
      </c>
      <c r="D45" s="10"/>
      <c r="E45" s="10"/>
      <c r="F45" s="17"/>
      <c r="G45" s="248" t="s">
        <v>12</v>
      </c>
      <c r="H45" s="260" t="s">
        <v>12</v>
      </c>
      <c r="I45" s="248" t="s">
        <v>24</v>
      </c>
      <c r="J45" s="248"/>
      <c r="K45" s="262"/>
      <c r="L45" s="248"/>
    </row>
    <row r="46">
      <c r="A46" s="32"/>
      <c r="B46" s="115" t="s">
        <v>169</v>
      </c>
      <c r="C46" s="85" t="s">
        <v>141</v>
      </c>
      <c r="D46" s="10"/>
      <c r="E46" s="10"/>
      <c r="F46" s="213" t="s">
        <v>170</v>
      </c>
      <c r="G46" s="248" t="s">
        <v>12</v>
      </c>
      <c r="H46" s="260" t="s">
        <v>12</v>
      </c>
      <c r="I46" s="248" t="s">
        <v>24</v>
      </c>
      <c r="J46" s="248"/>
      <c r="K46" s="262"/>
      <c r="L46" s="248"/>
    </row>
    <row r="47">
      <c r="A47" s="32"/>
      <c r="B47" s="32"/>
      <c r="C47" s="85" t="s">
        <v>171</v>
      </c>
      <c r="D47" s="10"/>
      <c r="E47" s="10"/>
      <c r="F47" s="17"/>
      <c r="G47" s="248" t="s">
        <v>12</v>
      </c>
      <c r="H47" s="260" t="s">
        <v>12</v>
      </c>
      <c r="I47" s="248" t="s">
        <v>24</v>
      </c>
      <c r="J47" s="248"/>
      <c r="K47" s="262"/>
      <c r="L47" s="248"/>
    </row>
    <row r="48">
      <c r="A48" s="32"/>
      <c r="B48" s="32"/>
      <c r="C48" s="77" t="s">
        <v>534</v>
      </c>
      <c r="D48" s="10"/>
      <c r="E48" s="10"/>
      <c r="F48" s="213" t="s">
        <v>535</v>
      </c>
      <c r="G48" s="248" t="s">
        <v>12</v>
      </c>
      <c r="H48" s="260" t="s">
        <v>12</v>
      </c>
      <c r="I48" s="342" t="s">
        <v>536</v>
      </c>
      <c r="J48" s="328"/>
      <c r="K48" s="346"/>
      <c r="L48" s="342" t="s">
        <v>536</v>
      </c>
    </row>
    <row r="49">
      <c r="A49" s="32"/>
      <c r="B49" s="32"/>
      <c r="C49" s="347" t="s">
        <v>315</v>
      </c>
      <c r="D49" s="10"/>
      <c r="E49" s="10"/>
      <c r="F49" s="321" t="s">
        <v>176</v>
      </c>
      <c r="G49" s="248" t="s">
        <v>12</v>
      </c>
      <c r="H49" s="260" t="s">
        <v>12</v>
      </c>
      <c r="I49" s="248" t="s">
        <v>24</v>
      </c>
      <c r="J49" s="248"/>
      <c r="K49" s="348"/>
      <c r="L49" s="248"/>
    </row>
    <row r="50">
      <c r="A50" s="32"/>
      <c r="B50" s="37"/>
      <c r="C50" s="77" t="s">
        <v>177</v>
      </c>
      <c r="D50" s="10"/>
      <c r="E50" s="10"/>
      <c r="F50" s="17"/>
      <c r="G50" s="248" t="s">
        <v>12</v>
      </c>
      <c r="H50" s="260" t="s">
        <v>12</v>
      </c>
      <c r="I50" s="248" t="s">
        <v>24</v>
      </c>
      <c r="J50" s="248"/>
      <c r="K50" s="262"/>
      <c r="L50" s="248"/>
    </row>
    <row r="51">
      <c r="A51" s="32"/>
      <c r="B51" s="102" t="s">
        <v>178</v>
      </c>
      <c r="C51" s="93" t="s">
        <v>179</v>
      </c>
      <c r="D51" s="10"/>
      <c r="E51" s="10"/>
      <c r="F51" s="17"/>
      <c r="G51" s="248" t="s">
        <v>12</v>
      </c>
      <c r="H51" s="260" t="s">
        <v>12</v>
      </c>
      <c r="I51" s="248" t="s">
        <v>24</v>
      </c>
      <c r="J51" s="248"/>
      <c r="K51" s="262"/>
      <c r="L51" s="248"/>
    </row>
    <row r="52">
      <c r="A52" s="32"/>
      <c r="B52" s="32"/>
      <c r="C52" s="93" t="s">
        <v>141</v>
      </c>
      <c r="D52" s="10"/>
      <c r="E52" s="10"/>
      <c r="F52" s="17"/>
      <c r="G52" s="248" t="s">
        <v>12</v>
      </c>
      <c r="H52" s="260" t="s">
        <v>12</v>
      </c>
      <c r="I52" s="248" t="s">
        <v>24</v>
      </c>
      <c r="J52" s="248"/>
      <c r="K52" s="262"/>
      <c r="L52" s="248"/>
    </row>
    <row r="53">
      <c r="A53" s="32"/>
      <c r="B53" s="32"/>
      <c r="C53" s="106" t="s">
        <v>181</v>
      </c>
      <c r="D53" s="10"/>
      <c r="E53" s="10"/>
      <c r="F53" s="213" t="s">
        <v>182</v>
      </c>
      <c r="G53" s="248" t="s">
        <v>12</v>
      </c>
      <c r="H53" s="260" t="s">
        <v>12</v>
      </c>
      <c r="I53" s="248" t="s">
        <v>24</v>
      </c>
      <c r="J53" s="248"/>
      <c r="K53" s="262"/>
      <c r="L53" s="248"/>
    </row>
    <row r="54">
      <c r="A54" s="32"/>
      <c r="B54" s="32"/>
      <c r="C54" s="93" t="s">
        <v>183</v>
      </c>
      <c r="D54" s="10"/>
      <c r="E54" s="10"/>
      <c r="F54" s="17"/>
      <c r="G54" s="248" t="s">
        <v>12</v>
      </c>
      <c r="H54" s="260" t="s">
        <v>12</v>
      </c>
      <c r="I54" s="248" t="s">
        <v>24</v>
      </c>
      <c r="J54" s="248"/>
      <c r="K54" s="262"/>
      <c r="L54" s="248"/>
    </row>
    <row r="55">
      <c r="A55" s="32"/>
      <c r="B55" s="32"/>
      <c r="C55" s="93" t="s">
        <v>184</v>
      </c>
      <c r="D55" s="10"/>
      <c r="E55" s="10"/>
      <c r="F55" s="17"/>
      <c r="G55" s="248" t="s">
        <v>12</v>
      </c>
      <c r="H55" s="260" t="s">
        <v>12</v>
      </c>
      <c r="I55" s="248" t="s">
        <v>24</v>
      </c>
      <c r="J55" s="248"/>
      <c r="K55" s="262"/>
      <c r="L55" s="248"/>
    </row>
    <row r="56">
      <c r="A56" s="32"/>
      <c r="B56" s="32"/>
      <c r="C56" s="93" t="s">
        <v>512</v>
      </c>
      <c r="D56" s="10"/>
      <c r="E56" s="10"/>
      <c r="F56" s="213" t="s">
        <v>186</v>
      </c>
      <c r="G56" s="248" t="s">
        <v>12</v>
      </c>
      <c r="H56" s="260" t="s">
        <v>12</v>
      </c>
      <c r="I56" s="248" t="s">
        <v>24</v>
      </c>
      <c r="J56" s="328"/>
      <c r="K56" s="262"/>
      <c r="L56" s="341" t="s">
        <v>559</v>
      </c>
    </row>
    <row r="57">
      <c r="A57" s="32"/>
      <c r="B57" s="32"/>
      <c r="C57" s="87" t="s">
        <v>187</v>
      </c>
      <c r="D57" s="10"/>
      <c r="E57" s="10"/>
      <c r="F57" s="17"/>
      <c r="G57" s="248" t="s">
        <v>12</v>
      </c>
      <c r="H57" s="260" t="s">
        <v>12</v>
      </c>
      <c r="I57" s="248" t="s">
        <v>24</v>
      </c>
      <c r="J57" s="328"/>
      <c r="K57" s="262"/>
      <c r="L57" s="248"/>
    </row>
    <row r="58">
      <c r="A58" s="32"/>
      <c r="B58" s="32"/>
      <c r="C58" s="77" t="s">
        <v>190</v>
      </c>
      <c r="D58" s="10"/>
      <c r="E58" s="10"/>
      <c r="F58" s="17"/>
      <c r="G58" s="248" t="s">
        <v>12</v>
      </c>
      <c r="H58" s="260" t="s">
        <v>12</v>
      </c>
      <c r="I58" s="328" t="s">
        <v>24</v>
      </c>
      <c r="J58" s="248"/>
      <c r="K58" s="262"/>
      <c r="L58" s="345" t="s">
        <v>560</v>
      </c>
    </row>
    <row r="59">
      <c r="A59" s="32"/>
      <c r="B59" s="32"/>
      <c r="C59" s="106" t="s">
        <v>561</v>
      </c>
      <c r="D59" s="10"/>
      <c r="E59" s="10"/>
      <c r="F59" s="213" t="s">
        <v>192</v>
      </c>
      <c r="G59" s="248" t="s">
        <v>12</v>
      </c>
      <c r="H59" s="260" t="s">
        <v>12</v>
      </c>
      <c r="I59" s="248" t="s">
        <v>24</v>
      </c>
      <c r="J59" s="248"/>
      <c r="K59" s="262"/>
      <c r="L59" s="248"/>
    </row>
    <row r="60">
      <c r="A60" s="32"/>
      <c r="B60" s="32"/>
      <c r="C60" s="93" t="s">
        <v>562</v>
      </c>
      <c r="D60" s="10"/>
      <c r="E60" s="10"/>
      <c r="F60" s="17"/>
      <c r="G60" s="248" t="s">
        <v>12</v>
      </c>
      <c r="H60" s="260" t="s">
        <v>12</v>
      </c>
      <c r="I60" s="248" t="s">
        <v>24</v>
      </c>
      <c r="J60" s="248"/>
      <c r="K60" s="262"/>
      <c r="L60" s="248"/>
    </row>
    <row r="61">
      <c r="A61" s="32"/>
      <c r="B61" s="32"/>
      <c r="C61" s="93" t="s">
        <v>194</v>
      </c>
      <c r="D61" s="10"/>
      <c r="E61" s="10"/>
      <c r="F61" s="17"/>
      <c r="G61" s="248" t="s">
        <v>12</v>
      </c>
      <c r="H61" s="260" t="s">
        <v>12</v>
      </c>
      <c r="I61" s="248" t="s">
        <v>24</v>
      </c>
      <c r="J61" s="328"/>
      <c r="K61" s="262"/>
      <c r="L61" s="248"/>
    </row>
    <row r="62">
      <c r="A62" s="32"/>
      <c r="B62" s="32"/>
      <c r="C62" s="103" t="s">
        <v>195</v>
      </c>
      <c r="D62" s="10"/>
      <c r="E62" s="10"/>
      <c r="F62" s="213" t="s">
        <v>196</v>
      </c>
      <c r="G62" s="248" t="s">
        <v>12</v>
      </c>
      <c r="H62" s="260" t="s">
        <v>12</v>
      </c>
      <c r="I62" s="248" t="s">
        <v>24</v>
      </c>
      <c r="J62" s="248"/>
      <c r="K62" s="262"/>
      <c r="L62" s="248"/>
    </row>
    <row r="63">
      <c r="A63" s="32"/>
      <c r="B63" s="32"/>
      <c r="C63" s="93" t="s">
        <v>197</v>
      </c>
      <c r="D63" s="10"/>
      <c r="E63" s="10"/>
      <c r="F63" s="213" t="s">
        <v>196</v>
      </c>
      <c r="G63" s="248" t="s">
        <v>12</v>
      </c>
      <c r="H63" s="260" t="s">
        <v>12</v>
      </c>
      <c r="I63" s="248" t="s">
        <v>12</v>
      </c>
      <c r="J63" s="248"/>
      <c r="K63" s="262"/>
      <c r="L63" s="248"/>
    </row>
    <row r="64">
      <c r="A64" s="32"/>
      <c r="B64" s="32"/>
      <c r="C64" s="93" t="s">
        <v>198</v>
      </c>
      <c r="D64" s="10"/>
      <c r="E64" s="10"/>
      <c r="F64" s="213" t="s">
        <v>196</v>
      </c>
      <c r="G64" s="248" t="s">
        <v>12</v>
      </c>
      <c r="H64" s="260" t="s">
        <v>12</v>
      </c>
      <c r="I64" s="248"/>
      <c r="J64" s="248"/>
      <c r="K64" s="262"/>
      <c r="L64" s="248"/>
    </row>
    <row r="65">
      <c r="A65" s="32"/>
      <c r="B65" s="32"/>
      <c r="C65" s="106" t="s">
        <v>201</v>
      </c>
      <c r="D65" s="10"/>
      <c r="E65" s="10"/>
      <c r="F65" s="213" t="s">
        <v>202</v>
      </c>
      <c r="G65" s="248" t="s">
        <v>12</v>
      </c>
      <c r="H65" s="260" t="s">
        <v>12</v>
      </c>
      <c r="I65" s="248" t="s">
        <v>24</v>
      </c>
      <c r="J65" s="248"/>
      <c r="K65" s="262"/>
      <c r="L65" s="248"/>
    </row>
    <row r="66">
      <c r="A66" s="32"/>
      <c r="B66" s="32"/>
      <c r="C66" s="349" t="s">
        <v>563</v>
      </c>
      <c r="D66" s="10"/>
      <c r="E66" s="10"/>
      <c r="F66" s="17"/>
      <c r="G66" s="248" t="s">
        <v>12</v>
      </c>
      <c r="H66" s="260" t="s">
        <v>12</v>
      </c>
      <c r="I66" s="248"/>
      <c r="J66" s="248"/>
      <c r="K66" s="262"/>
      <c r="L66" s="248"/>
    </row>
    <row r="67">
      <c r="A67" s="32"/>
      <c r="B67" s="32"/>
      <c r="C67" s="83" t="s">
        <v>564</v>
      </c>
      <c r="D67" s="10"/>
      <c r="E67" s="10"/>
      <c r="F67" s="213" t="s">
        <v>124</v>
      </c>
      <c r="G67" s="248" t="s">
        <v>12</v>
      </c>
      <c r="H67" s="260" t="s">
        <v>12</v>
      </c>
      <c r="I67" s="248" t="s">
        <v>517</v>
      </c>
      <c r="J67" s="248"/>
      <c r="K67" s="262"/>
      <c r="L67" s="248" t="s">
        <v>517</v>
      </c>
    </row>
    <row r="68">
      <c r="A68" s="32"/>
      <c r="B68" s="32"/>
      <c r="C68" s="120" t="s">
        <v>316</v>
      </c>
      <c r="D68" s="10"/>
      <c r="E68" s="10"/>
      <c r="F68" s="213" t="s">
        <v>124</v>
      </c>
      <c r="G68" s="248" t="s">
        <v>12</v>
      </c>
      <c r="H68" s="260" t="s">
        <v>12</v>
      </c>
      <c r="I68" s="248" t="s">
        <v>24</v>
      </c>
      <c r="J68" s="328"/>
      <c r="K68" s="262"/>
      <c r="L68" s="345" t="s">
        <v>565</v>
      </c>
    </row>
    <row r="69">
      <c r="A69" s="32"/>
      <c r="B69" s="32"/>
      <c r="C69" s="121" t="s">
        <v>205</v>
      </c>
      <c r="D69" s="245" t="s">
        <v>206</v>
      </c>
      <c r="E69" s="10"/>
      <c r="F69" s="213" t="s">
        <v>207</v>
      </c>
      <c r="G69" s="248" t="s">
        <v>12</v>
      </c>
      <c r="H69" s="260" t="s">
        <v>12</v>
      </c>
      <c r="I69" s="328" t="s">
        <v>24</v>
      </c>
      <c r="J69" s="328"/>
      <c r="K69" s="262"/>
      <c r="L69" s="345" t="s">
        <v>566</v>
      </c>
    </row>
    <row r="70">
      <c r="A70" s="32"/>
      <c r="B70" s="37"/>
      <c r="C70" s="93" t="s">
        <v>492</v>
      </c>
      <c r="D70" s="10"/>
      <c r="E70" s="10"/>
      <c r="F70" s="213" t="s">
        <v>493</v>
      </c>
      <c r="G70" s="248" t="s">
        <v>12</v>
      </c>
      <c r="H70" s="260" t="s">
        <v>12</v>
      </c>
      <c r="I70" s="274"/>
      <c r="J70" s="274"/>
      <c r="K70" s="262"/>
      <c r="L70" s="274"/>
    </row>
    <row r="71">
      <c r="A71" s="32"/>
      <c r="B71" s="102" t="s">
        <v>208</v>
      </c>
      <c r="C71" s="106" t="s">
        <v>209</v>
      </c>
      <c r="D71" s="10"/>
      <c r="E71" s="10"/>
      <c r="F71" s="17"/>
      <c r="G71" s="248" t="s">
        <v>12</v>
      </c>
      <c r="H71" s="260" t="s">
        <v>12</v>
      </c>
      <c r="I71" s="248" t="s">
        <v>24</v>
      </c>
      <c r="J71" s="248"/>
      <c r="K71" s="262"/>
      <c r="L71" s="328"/>
    </row>
    <row r="72">
      <c r="A72" s="32"/>
      <c r="B72" s="32"/>
      <c r="C72" s="123" t="s">
        <v>210</v>
      </c>
      <c r="D72" s="10"/>
      <c r="E72" s="10"/>
      <c r="F72" s="213" t="s">
        <v>211</v>
      </c>
      <c r="G72" s="248" t="s">
        <v>12</v>
      </c>
      <c r="H72" s="260" t="s">
        <v>12</v>
      </c>
      <c r="I72" s="248" t="s">
        <v>24</v>
      </c>
      <c r="J72" s="248"/>
      <c r="K72" s="262"/>
      <c r="L72" s="248"/>
    </row>
    <row r="73">
      <c r="A73" s="32"/>
      <c r="B73" s="32"/>
      <c r="C73" s="124" t="s">
        <v>212</v>
      </c>
      <c r="D73" s="10"/>
      <c r="E73" s="10"/>
      <c r="F73" s="17"/>
      <c r="G73" s="248" t="s">
        <v>12</v>
      </c>
      <c r="H73" s="260" t="s">
        <v>12</v>
      </c>
      <c r="I73" s="248" t="s">
        <v>24</v>
      </c>
      <c r="J73" s="248"/>
      <c r="K73" s="262"/>
      <c r="L73" s="248"/>
    </row>
    <row r="74">
      <c r="A74" s="32"/>
      <c r="B74" s="32"/>
      <c r="C74" s="125" t="s">
        <v>213</v>
      </c>
      <c r="D74" s="10"/>
      <c r="E74" s="10"/>
      <c r="F74" s="17"/>
      <c r="G74" s="248" t="s">
        <v>12</v>
      </c>
      <c r="H74" s="260" t="s">
        <v>12</v>
      </c>
      <c r="I74" s="248" t="s">
        <v>24</v>
      </c>
      <c r="J74" s="248"/>
      <c r="K74" s="262"/>
      <c r="L74" s="248"/>
    </row>
    <row r="75">
      <c r="A75" s="32"/>
      <c r="B75" s="32"/>
      <c r="C75" s="124" t="s">
        <v>214</v>
      </c>
      <c r="D75" s="10"/>
      <c r="E75" s="10"/>
      <c r="F75" s="17"/>
      <c r="G75" s="248" t="s">
        <v>12</v>
      </c>
      <c r="H75" s="260" t="s">
        <v>12</v>
      </c>
      <c r="I75" s="248" t="s">
        <v>24</v>
      </c>
      <c r="J75" s="248"/>
      <c r="K75" s="262"/>
      <c r="L75" s="248"/>
    </row>
    <row r="76">
      <c r="A76" s="32"/>
      <c r="B76" s="37"/>
      <c r="C76" s="124" t="s">
        <v>567</v>
      </c>
      <c r="D76" s="10"/>
      <c r="E76" s="10"/>
      <c r="F76" s="17"/>
      <c r="G76" s="248" t="s">
        <v>12</v>
      </c>
      <c r="H76" s="260" t="s">
        <v>12</v>
      </c>
      <c r="I76" s="248" t="s">
        <v>24</v>
      </c>
      <c r="J76" s="248"/>
      <c r="K76" s="262"/>
      <c r="L76" s="248"/>
    </row>
    <row r="77">
      <c r="A77" s="32"/>
      <c r="B77" s="115" t="s">
        <v>217</v>
      </c>
      <c r="C77" s="124" t="s">
        <v>218</v>
      </c>
      <c r="D77" s="10"/>
      <c r="E77" s="10"/>
      <c r="F77" s="17"/>
      <c r="G77" s="248" t="s">
        <v>12</v>
      </c>
      <c r="H77" s="260" t="s">
        <v>12</v>
      </c>
      <c r="I77" s="248" t="s">
        <v>24</v>
      </c>
      <c r="J77" s="248"/>
      <c r="K77" s="262"/>
      <c r="L77" s="248"/>
    </row>
    <row r="78">
      <c r="A78" s="32"/>
      <c r="B78" s="32"/>
      <c r="C78" s="124" t="s">
        <v>220</v>
      </c>
      <c r="D78" s="10"/>
      <c r="E78" s="10"/>
      <c r="F78" s="17"/>
      <c r="G78" s="248" t="s">
        <v>12</v>
      </c>
      <c r="H78" s="260" t="s">
        <v>12</v>
      </c>
      <c r="I78" s="248" t="s">
        <v>24</v>
      </c>
      <c r="J78" s="248"/>
      <c r="K78" s="262"/>
      <c r="L78" s="248"/>
    </row>
    <row r="79">
      <c r="A79" s="32"/>
      <c r="B79" s="32"/>
      <c r="C79" s="129" t="s">
        <v>474</v>
      </c>
      <c r="D79" s="10"/>
      <c r="E79" s="10"/>
      <c r="F79" s="213" t="s">
        <v>222</v>
      </c>
      <c r="G79" s="248" t="s">
        <v>12</v>
      </c>
      <c r="H79" s="260" t="s">
        <v>12</v>
      </c>
      <c r="I79" s="248" t="s">
        <v>24</v>
      </c>
      <c r="J79" s="248"/>
      <c r="K79" s="262"/>
      <c r="L79" s="248"/>
    </row>
    <row r="80">
      <c r="A80" s="32"/>
      <c r="B80" s="37"/>
      <c r="C80" s="124" t="s">
        <v>223</v>
      </c>
      <c r="D80" s="10"/>
      <c r="E80" s="10"/>
      <c r="F80" s="213" t="s">
        <v>224</v>
      </c>
      <c r="G80" s="248" t="s">
        <v>12</v>
      </c>
      <c r="H80" s="260" t="s">
        <v>12</v>
      </c>
      <c r="I80" s="248" t="s">
        <v>24</v>
      </c>
      <c r="J80" s="248"/>
      <c r="K80" s="262"/>
      <c r="L80" s="248"/>
    </row>
    <row r="81">
      <c r="A81" s="32"/>
      <c r="B81" s="102" t="s">
        <v>244</v>
      </c>
      <c r="C81" s="106" t="s">
        <v>245</v>
      </c>
      <c r="D81" s="10"/>
      <c r="E81" s="245" t="s">
        <v>248</v>
      </c>
      <c r="F81" s="237" t="s">
        <v>411</v>
      </c>
      <c r="G81" s="248" t="s">
        <v>12</v>
      </c>
      <c r="H81" s="260" t="s">
        <v>12</v>
      </c>
      <c r="I81" s="248" t="s">
        <v>24</v>
      </c>
      <c r="J81" s="248"/>
      <c r="K81" s="274"/>
      <c r="L81" s="248"/>
    </row>
    <row r="82">
      <c r="A82" s="32"/>
      <c r="B82" s="32"/>
      <c r="C82" s="123" t="s">
        <v>247</v>
      </c>
      <c r="D82" s="10"/>
      <c r="E82" s="245" t="s">
        <v>248</v>
      </c>
      <c r="F82" s="213" t="s">
        <v>207</v>
      </c>
      <c r="G82" s="248" t="s">
        <v>12</v>
      </c>
      <c r="H82" s="260" t="s">
        <v>12</v>
      </c>
      <c r="I82" s="248" t="s">
        <v>24</v>
      </c>
      <c r="J82" s="248"/>
      <c r="K82" s="343"/>
      <c r="L82" s="248"/>
    </row>
    <row r="83">
      <c r="A83" s="32"/>
      <c r="B83" s="32"/>
      <c r="C83" s="123" t="s">
        <v>249</v>
      </c>
      <c r="D83" s="10"/>
      <c r="E83" s="10"/>
      <c r="F83" s="213" t="s">
        <v>250</v>
      </c>
      <c r="G83" s="248" t="s">
        <v>12</v>
      </c>
      <c r="H83" s="260" t="s">
        <v>12</v>
      </c>
      <c r="I83" s="248" t="s">
        <v>24</v>
      </c>
      <c r="J83" s="248"/>
      <c r="K83" s="262"/>
      <c r="L83" s="248"/>
    </row>
    <row r="84">
      <c r="A84" s="32"/>
      <c r="B84" s="32"/>
      <c r="C84" s="103" t="s">
        <v>251</v>
      </c>
      <c r="D84" s="10"/>
      <c r="E84" s="10"/>
      <c r="F84" s="213" t="s">
        <v>252</v>
      </c>
      <c r="G84" s="248" t="s">
        <v>12</v>
      </c>
      <c r="H84" s="260" t="s">
        <v>12</v>
      </c>
      <c r="I84" s="342" t="s">
        <v>520</v>
      </c>
      <c r="J84" s="248"/>
      <c r="K84" s="262"/>
      <c r="L84" s="342" t="s">
        <v>520</v>
      </c>
    </row>
    <row r="85">
      <c r="A85" s="32"/>
      <c r="B85" s="32"/>
      <c r="C85" s="93" t="s">
        <v>568</v>
      </c>
      <c r="D85" s="10"/>
      <c r="E85" s="10"/>
      <c r="F85" s="213" t="s">
        <v>254</v>
      </c>
      <c r="G85" s="248" t="s">
        <v>12</v>
      </c>
      <c r="H85" s="260" t="s">
        <v>12</v>
      </c>
      <c r="I85" s="248" t="s">
        <v>24</v>
      </c>
      <c r="J85" s="248"/>
      <c r="K85" s="343"/>
      <c r="L85" s="248"/>
    </row>
    <row r="86">
      <c r="A86" s="32"/>
      <c r="B86" s="32"/>
      <c r="C86" s="106" t="s">
        <v>255</v>
      </c>
      <c r="D86" s="10"/>
      <c r="E86" s="10"/>
      <c r="F86" s="213" t="s">
        <v>256</v>
      </c>
      <c r="G86" s="248" t="s">
        <v>12</v>
      </c>
      <c r="H86" s="260" t="s">
        <v>12</v>
      </c>
      <c r="I86" s="248" t="s">
        <v>24</v>
      </c>
      <c r="J86" s="248"/>
      <c r="K86" s="262"/>
      <c r="L86" s="248"/>
    </row>
    <row r="87">
      <c r="A87" s="32"/>
      <c r="B87" s="32"/>
      <c r="C87" s="93" t="s">
        <v>257</v>
      </c>
      <c r="D87" s="10"/>
      <c r="E87" s="10"/>
      <c r="F87" s="17"/>
      <c r="G87" s="248" t="s">
        <v>12</v>
      </c>
      <c r="H87" s="260" t="s">
        <v>12</v>
      </c>
      <c r="I87" s="248" t="s">
        <v>24</v>
      </c>
      <c r="J87" s="248"/>
      <c r="K87" s="262"/>
      <c r="L87" s="248"/>
    </row>
    <row r="88">
      <c r="A88" s="32"/>
      <c r="B88" s="32"/>
      <c r="C88" s="93" t="s">
        <v>258</v>
      </c>
      <c r="D88" s="10"/>
      <c r="E88" s="10"/>
      <c r="F88" s="213" t="s">
        <v>259</v>
      </c>
      <c r="G88" s="248" t="s">
        <v>12</v>
      </c>
      <c r="H88" s="260" t="s">
        <v>12</v>
      </c>
      <c r="I88" s="345" t="s">
        <v>569</v>
      </c>
      <c r="J88" s="248"/>
      <c r="K88" s="262"/>
      <c r="L88" s="345" t="s">
        <v>569</v>
      </c>
    </row>
    <row r="89">
      <c r="A89" s="37"/>
      <c r="B89" s="37"/>
      <c r="C89" s="103" t="s">
        <v>521</v>
      </c>
      <c r="D89" s="10"/>
      <c r="E89" s="10"/>
      <c r="F89" s="17"/>
      <c r="G89" s="248" t="s">
        <v>12</v>
      </c>
      <c r="H89" s="260" t="s">
        <v>12</v>
      </c>
      <c r="I89" s="345" t="s">
        <v>570</v>
      </c>
      <c r="J89" s="248"/>
      <c r="K89" s="262"/>
      <c r="L89" s="345" t="s">
        <v>570</v>
      </c>
    </row>
    <row r="90">
      <c r="A90" s="154"/>
      <c r="B90" s="154"/>
      <c r="C90" s="142" t="s">
        <v>421</v>
      </c>
      <c r="E90" s="245" t="s">
        <v>96</v>
      </c>
      <c r="F90" s="240"/>
      <c r="G90" s="248" t="s">
        <v>12</v>
      </c>
      <c r="H90" s="260" t="s">
        <v>12</v>
      </c>
      <c r="I90" s="248" t="s">
        <v>24</v>
      </c>
      <c r="J90" s="248"/>
      <c r="K90" s="262"/>
      <c r="L90" s="248"/>
    </row>
    <row r="91">
      <c r="A91" s="154"/>
      <c r="B91" s="154"/>
      <c r="C91" s="142" t="s">
        <v>265</v>
      </c>
      <c r="D91" s="10"/>
      <c r="E91" s="256" t="s">
        <v>540</v>
      </c>
      <c r="F91" s="240"/>
      <c r="G91" s="248" t="s">
        <v>12</v>
      </c>
      <c r="H91" s="260" t="s">
        <v>12</v>
      </c>
      <c r="I91" s="248" t="s">
        <v>24</v>
      </c>
      <c r="J91" s="248"/>
      <c r="K91" s="262"/>
      <c r="L91" s="248"/>
    </row>
    <row r="92">
      <c r="A92" s="154"/>
      <c r="B92" s="154">
        <v>92.0</v>
      </c>
      <c r="C92" s="154" t="s">
        <v>571</v>
      </c>
      <c r="D92" s="154"/>
      <c r="E92" s="154"/>
      <c r="F92" s="142" t="s">
        <v>276</v>
      </c>
      <c r="G92" s="200">
        <v>100.0</v>
      </c>
      <c r="H92" s="200">
        <v>100.0</v>
      </c>
      <c r="I92" s="200">
        <v>95.0</v>
      </c>
      <c r="J92" s="200">
        <v>0.0</v>
      </c>
      <c r="K92" s="200">
        <v>0.0</v>
      </c>
      <c r="L92" s="200">
        <v>21.0</v>
      </c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>
      <c r="A97" s="79" t="s">
        <v>572</v>
      </c>
      <c r="B97" s="152"/>
      <c r="C97" s="152"/>
      <c r="D97" s="153"/>
      <c r="E97" s="10"/>
      <c r="F97" s="10"/>
      <c r="G97" s="10"/>
      <c r="H97" s="10"/>
      <c r="I97" s="10"/>
      <c r="J97" s="10"/>
      <c r="K97" s="10"/>
      <c r="L97" s="10"/>
    </row>
    <row r="98">
      <c r="A98" s="154"/>
      <c r="B98" s="155" t="s">
        <v>5</v>
      </c>
      <c r="C98" s="155" t="s">
        <v>277</v>
      </c>
      <c r="D98" s="155" t="s">
        <v>7</v>
      </c>
      <c r="E98" s="10"/>
      <c r="F98" s="10"/>
      <c r="G98" s="10"/>
      <c r="H98" s="10"/>
      <c r="I98" s="10"/>
      <c r="J98" s="10"/>
      <c r="K98" s="10"/>
      <c r="L98" s="10"/>
    </row>
    <row r="99">
      <c r="A99" s="155" t="s">
        <v>278</v>
      </c>
      <c r="B99" s="154">
        <v>0.0</v>
      </c>
      <c r="C99" s="154">
        <v>0.0</v>
      </c>
      <c r="D99" s="154">
        <v>71.0</v>
      </c>
      <c r="E99" s="10"/>
      <c r="F99" s="10"/>
      <c r="G99" s="10"/>
      <c r="H99" s="10"/>
      <c r="I99" s="10"/>
      <c r="J99" s="10"/>
      <c r="K99" s="10"/>
      <c r="L99" s="10"/>
    </row>
    <row r="100">
      <c r="A100" s="155" t="s">
        <v>279</v>
      </c>
      <c r="B100" s="154">
        <v>0.0</v>
      </c>
      <c r="C100" s="154">
        <v>0.0</v>
      </c>
      <c r="D100" s="154">
        <v>6.0</v>
      </c>
      <c r="E100" s="10"/>
      <c r="F100" s="10"/>
      <c r="G100" s="10"/>
      <c r="H100" s="10"/>
      <c r="I100" s="10"/>
      <c r="J100" s="10"/>
      <c r="K100" s="10"/>
      <c r="L100" s="10"/>
    </row>
    <row r="101">
      <c r="A101" s="155" t="s">
        <v>280</v>
      </c>
      <c r="B101" s="154">
        <v>0.0</v>
      </c>
      <c r="C101" s="154">
        <v>0.0</v>
      </c>
      <c r="D101" s="154">
        <v>1.0</v>
      </c>
      <c r="E101" s="10"/>
      <c r="F101" s="10"/>
      <c r="G101" s="10"/>
      <c r="H101" s="10"/>
      <c r="I101" s="10"/>
      <c r="J101" s="10"/>
      <c r="K101" s="10"/>
      <c r="L101" s="10"/>
    </row>
    <row r="102">
      <c r="A102" s="155" t="s">
        <v>281</v>
      </c>
      <c r="B102" s="154">
        <v>0.0</v>
      </c>
      <c r="C102" s="154">
        <v>0.0</v>
      </c>
      <c r="D102" s="154">
        <v>3.0</v>
      </c>
      <c r="E102" s="10"/>
      <c r="F102" s="10"/>
      <c r="G102" s="10"/>
      <c r="H102" s="10"/>
      <c r="I102" s="10"/>
      <c r="J102" s="10"/>
      <c r="K102" s="10"/>
      <c r="L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>
      <c r="A105" s="334" t="s">
        <v>282</v>
      </c>
      <c r="B105" s="335"/>
      <c r="C105" s="335"/>
      <c r="D105" s="335"/>
      <c r="E105" s="335"/>
      <c r="F105" s="10"/>
      <c r="G105" s="10"/>
      <c r="H105" s="10"/>
      <c r="I105" s="10"/>
      <c r="J105" s="10"/>
      <c r="K105" s="10"/>
      <c r="L105" s="10"/>
    </row>
    <row r="106">
      <c r="A106" s="157" t="s">
        <v>8</v>
      </c>
      <c r="B106" s="158"/>
      <c r="C106" s="158"/>
      <c r="D106" s="158"/>
      <c r="E106" s="157" t="s">
        <v>283</v>
      </c>
      <c r="F106" s="10"/>
      <c r="G106" s="10"/>
      <c r="H106" s="10"/>
      <c r="I106" s="10"/>
      <c r="J106" s="10"/>
      <c r="K106" s="10"/>
      <c r="L106" s="10"/>
    </row>
    <row r="107">
      <c r="A107" s="159" t="s">
        <v>284</v>
      </c>
      <c r="B107" s="158"/>
      <c r="C107" s="158"/>
      <c r="D107" s="158"/>
      <c r="E107" s="160" t="s">
        <v>24</v>
      </c>
      <c r="F107" s="10"/>
      <c r="G107" s="10"/>
      <c r="H107" s="10"/>
      <c r="I107" s="10"/>
      <c r="J107" s="10"/>
      <c r="K107" s="10"/>
      <c r="L107" s="10"/>
    </row>
    <row r="108">
      <c r="A108" s="161" t="s">
        <v>285</v>
      </c>
      <c r="B108" s="158"/>
      <c r="C108" s="158"/>
      <c r="D108" s="158"/>
      <c r="E108" s="162" t="s">
        <v>12</v>
      </c>
      <c r="F108" s="10"/>
      <c r="G108" s="10"/>
      <c r="H108" s="10"/>
      <c r="I108" s="10"/>
      <c r="J108" s="10"/>
      <c r="K108" s="10"/>
      <c r="L108" s="10"/>
    </row>
    <row r="109">
      <c r="A109" s="178" t="s">
        <v>543</v>
      </c>
      <c r="B109" s="158"/>
      <c r="C109" s="158"/>
      <c r="D109" s="158"/>
      <c r="E109" s="164" t="s">
        <v>287</v>
      </c>
      <c r="F109" s="10"/>
      <c r="G109" s="10"/>
      <c r="H109" s="10"/>
      <c r="I109" s="10"/>
      <c r="J109" s="10"/>
      <c r="K109" s="10"/>
      <c r="L109" s="10"/>
    </row>
    <row r="110">
      <c r="A110" s="163" t="s">
        <v>286</v>
      </c>
      <c r="B110" s="158"/>
      <c r="C110" s="158"/>
      <c r="D110" s="158"/>
      <c r="E110" s="166" t="s">
        <v>10</v>
      </c>
      <c r="F110" s="10"/>
      <c r="G110" s="10"/>
      <c r="H110" s="10"/>
      <c r="I110" s="10"/>
      <c r="J110" s="10"/>
      <c r="K110" s="10"/>
      <c r="L110" s="10"/>
    </row>
    <row r="111">
      <c r="A111" s="165" t="s">
        <v>288</v>
      </c>
      <c r="B111" s="158"/>
      <c r="C111" s="158"/>
      <c r="D111" s="158"/>
      <c r="E111" s="168" t="s">
        <v>290</v>
      </c>
      <c r="F111" s="10"/>
      <c r="G111" s="10"/>
      <c r="H111" s="10"/>
      <c r="I111" s="10"/>
      <c r="J111" s="10"/>
      <c r="K111" s="10"/>
      <c r="L111" s="10"/>
    </row>
    <row r="112">
      <c r="A112" s="167" t="s">
        <v>544</v>
      </c>
      <c r="B112" s="158"/>
      <c r="C112" s="158"/>
      <c r="D112" s="158"/>
      <c r="E112" s="170" t="s">
        <v>292</v>
      </c>
      <c r="F112" s="10"/>
      <c r="G112" s="10"/>
      <c r="H112" s="10"/>
      <c r="I112" s="10"/>
      <c r="J112" s="10"/>
      <c r="K112" s="10"/>
      <c r="L112" s="10"/>
    </row>
    <row r="113">
      <c r="A113" s="169" t="s">
        <v>291</v>
      </c>
      <c r="B113" s="158"/>
      <c r="C113" s="158"/>
      <c r="D113" s="158"/>
      <c r="E113" s="172" t="s">
        <v>294</v>
      </c>
      <c r="F113" s="10"/>
      <c r="G113" s="10"/>
      <c r="H113" s="10"/>
      <c r="I113" s="10"/>
      <c r="J113" s="10"/>
      <c r="K113" s="10"/>
      <c r="L113" s="10"/>
    </row>
    <row r="114">
      <c r="A114" s="175" t="s">
        <v>296</v>
      </c>
      <c r="B114" s="158"/>
      <c r="C114" s="158"/>
      <c r="D114" s="158"/>
      <c r="E114" s="174" t="s">
        <v>11</v>
      </c>
      <c r="F114" s="10"/>
      <c r="G114" s="10"/>
      <c r="H114" s="10"/>
      <c r="I114" s="10"/>
      <c r="J114" s="10"/>
      <c r="K114" s="10"/>
      <c r="L114" s="10"/>
    </row>
    <row r="115">
      <c r="A115" s="173" t="s">
        <v>295</v>
      </c>
      <c r="B115" s="158"/>
      <c r="C115" s="158"/>
      <c r="D115" s="158"/>
      <c r="E115" s="176" t="s">
        <v>545</v>
      </c>
      <c r="F115" s="10"/>
      <c r="G115" s="10"/>
      <c r="H115" s="10"/>
      <c r="I115" s="10"/>
      <c r="J115" s="10"/>
      <c r="K115" s="10"/>
      <c r="L115" s="10"/>
    </row>
    <row r="116">
      <c r="A116" s="325" t="s">
        <v>501</v>
      </c>
      <c r="B116" s="158"/>
      <c r="C116" s="158"/>
      <c r="D116" s="158"/>
      <c r="E116" s="158"/>
      <c r="F116" s="10"/>
      <c r="G116" s="10"/>
      <c r="H116" s="10"/>
      <c r="I116" s="10"/>
      <c r="J116" s="10"/>
      <c r="K116" s="10"/>
      <c r="L116" s="10"/>
    </row>
    <row r="117">
      <c r="A117" s="177" t="s">
        <v>297</v>
      </c>
      <c r="B117" s="158"/>
      <c r="C117" s="158"/>
      <c r="D117" s="158"/>
      <c r="E117" s="158"/>
      <c r="F117" s="10"/>
      <c r="G117" s="10"/>
      <c r="H117" s="10"/>
      <c r="I117" s="10"/>
      <c r="J117" s="10"/>
      <c r="K117" s="10"/>
      <c r="L117" s="10"/>
    </row>
    <row r="118">
      <c r="A118" s="336" t="s">
        <v>300</v>
      </c>
      <c r="B118" s="158"/>
      <c r="C118" s="158"/>
      <c r="D118" s="158"/>
      <c r="E118" s="158"/>
      <c r="F118" s="10"/>
      <c r="G118" s="10"/>
      <c r="H118" s="10"/>
      <c r="I118" s="10"/>
      <c r="J118" s="10"/>
      <c r="K118" s="10"/>
      <c r="L118" s="10"/>
    </row>
    <row r="119">
      <c r="A119" s="181" t="s">
        <v>301</v>
      </c>
      <c r="B119" s="158"/>
      <c r="C119" s="158"/>
      <c r="D119" s="158"/>
      <c r="E119" s="158"/>
      <c r="F119" s="10"/>
      <c r="G119" s="10"/>
      <c r="H119" s="10"/>
      <c r="I119" s="10"/>
      <c r="J119" s="10"/>
      <c r="K119" s="10"/>
      <c r="L119" s="10"/>
    </row>
    <row r="120">
      <c r="A120" s="337" t="s">
        <v>546</v>
      </c>
      <c r="B120" s="158"/>
      <c r="C120" s="158"/>
      <c r="D120" s="158"/>
      <c r="E120" s="158"/>
      <c r="F120" s="10"/>
      <c r="G120" s="10"/>
      <c r="H120" s="10"/>
      <c r="I120" s="10"/>
      <c r="J120" s="10"/>
      <c r="K120" s="10"/>
      <c r="L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</sheetData>
  <mergeCells count="15">
    <mergeCell ref="B32:B45"/>
    <mergeCell ref="B46:B50"/>
    <mergeCell ref="B51:B70"/>
    <mergeCell ref="B71:B76"/>
    <mergeCell ref="B77:B80"/>
    <mergeCell ref="B81:B89"/>
    <mergeCell ref="A97:D97"/>
    <mergeCell ref="A105:E105"/>
    <mergeCell ref="G1:I1"/>
    <mergeCell ref="J1:L1"/>
    <mergeCell ref="A6:A16"/>
    <mergeCell ref="B6:B14"/>
    <mergeCell ref="B15:B16"/>
    <mergeCell ref="A17:A89"/>
    <mergeCell ref="B17:B31"/>
  </mergeCells>
  <conditionalFormatting sqref="I20:L20">
    <cfRule type="cellIs" dxfId="18" priority="1" stopIfTrue="1" operator="equal">
      <formula>"Not Tested"</formula>
    </cfRule>
  </conditionalFormatting>
  <conditionalFormatting sqref="B3:D3 G4:L4">
    <cfRule type="cellIs" dxfId="14" priority="2" stopIfTrue="1" operator="equal">
      <formula>"Anu"</formula>
    </cfRule>
  </conditionalFormatting>
  <conditionalFormatting sqref="B3:D3 G4:L4">
    <cfRule type="cellIs" dxfId="0" priority="3" stopIfTrue="1" operator="equal">
      <formula>"Amrita"</formula>
    </cfRule>
  </conditionalFormatting>
  <conditionalFormatting sqref="B3:D3 G4:L4">
    <cfRule type="cellIs" dxfId="1" priority="4" stopIfTrue="1" operator="equal">
      <formula>"Gourav"</formula>
    </cfRule>
  </conditionalFormatting>
  <conditionalFormatting sqref="B3:D3 G4:L4">
    <cfRule type="cellIs" dxfId="2" priority="5" stopIfTrue="1" operator="equal">
      <formula>"Hannah"</formula>
    </cfRule>
  </conditionalFormatting>
  <conditionalFormatting sqref="B3:D3 G4:L4">
    <cfRule type="cellIs" dxfId="4" priority="6" stopIfTrue="1" operator="equal">
      <formula>"Nitin"</formula>
    </cfRule>
  </conditionalFormatting>
  <conditionalFormatting sqref="B3:D3 G4:L4">
    <cfRule type="cellIs" dxfId="5" priority="7" stopIfTrue="1" operator="equal">
      <formula>"Ramakrishna"</formula>
    </cfRule>
  </conditionalFormatting>
  <conditionalFormatting sqref="B3:D3 G4:L4">
    <cfRule type="cellIs" dxfId="6" priority="8" stopIfTrue="1" operator="equal">
      <formula>"Sriram"</formula>
    </cfRule>
  </conditionalFormatting>
  <conditionalFormatting sqref="B3:D3 G4:L4">
    <cfRule type="cellIs" dxfId="7" priority="9" stopIfTrue="1" operator="equal">
      <formula>"Saheli"</formula>
    </cfRule>
  </conditionalFormatting>
  <conditionalFormatting sqref="B3:D3 G4:L4">
    <cfRule type="cellIs" dxfId="8" priority="10" stopIfTrue="1" operator="equal">
      <formula>"Kavya"</formula>
    </cfRule>
  </conditionalFormatting>
  <conditionalFormatting sqref="B3:D3 G4:L4">
    <cfRule type="cellIs" dxfId="9" priority="11" stopIfTrue="1" operator="equal">
      <formula>"Vishnu"</formula>
    </cfRule>
  </conditionalFormatting>
  <conditionalFormatting sqref="G6:H91 I6:I32 J6:L91 F28 I34:I91 F37">
    <cfRule type="cellIs" dxfId="16" priority="12" operator="equal">
      <formula>"OK"</formula>
    </cfRule>
  </conditionalFormatting>
  <conditionalFormatting sqref="B3:D3 G4:L4 G6:H91 I6:I32 J6:L91 F28 I34:I91 F37">
    <cfRule type="cellIs" dxfId="18" priority="13" operator="equal">
      <formula>"Not Tested"</formula>
    </cfRule>
  </conditionalFormatting>
  <conditionalFormatting sqref="G6:H91 I6:I32 J6:L91 F28 I34:I91 F37">
    <cfRule type="cellIs" dxfId="19" priority="14" stopIfTrue="1" operator="equal">
      <formula>"N/A"</formula>
    </cfRule>
  </conditionalFormatting>
  <conditionalFormatting sqref="B2:D2 G3:L3">
    <cfRule type="containsText" dxfId="20" priority="15" stopIfTrue="1" operator="containsText" text="Incomplete">
      <formula>NOT(ISERROR(SEARCH(("Incomplete"),(B2))))</formula>
    </cfRule>
  </conditionalFormatting>
  <conditionalFormatting sqref="B2:D2 G3:L3">
    <cfRule type="containsText" dxfId="17" priority="16" stopIfTrue="1" operator="containsText" text="Broken">
      <formula>NOT(ISERROR(SEARCH(("Broken"),(B2))))</formula>
    </cfRule>
  </conditionalFormatting>
  <conditionalFormatting sqref="B2:D2 G3:L3">
    <cfRule type="containsText" dxfId="21" priority="17" stopIfTrue="1" operator="containsText" text="Some problems">
      <formula>NOT(ISERROR(SEARCH(("Some problems"),(B2))))</formula>
    </cfRule>
  </conditionalFormatting>
  <conditionalFormatting sqref="B2:D2 G3:L3">
    <cfRule type="containsText" dxfId="22" priority="18" stopIfTrue="1" operator="containsText" text="All OK">
      <formula>NOT(ISERROR(SEARCH(("All OK"),(B2))))</formula>
    </cfRule>
  </conditionalFormatting>
  <conditionalFormatting sqref="B2:D2 G3:L3">
    <cfRule type="containsText" dxfId="23" priority="19" stopIfTrue="1" operator="containsText" text="In Progress">
      <formula>NOT(ISERROR(SEARCH(("In Progress"),(B2))))</formula>
    </cfRule>
  </conditionalFormatting>
  <conditionalFormatting sqref="B2:D2 G3:L3">
    <cfRule type="containsText" dxfId="24" priority="20" stopIfTrue="1" operator="containsText" text="Not Tested">
      <formula>NOT(ISERROR(SEARCH(("Not Tested"),(B2))))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573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573</v>
      </c>
      <c r="H1" s="6"/>
      <c r="I1" s="7"/>
      <c r="J1" s="5" t="s">
        <v>574</v>
      </c>
      <c r="K1" s="6"/>
      <c r="L1" s="7"/>
      <c r="M1" s="5" t="s">
        <v>575</v>
      </c>
      <c r="N1" s="6"/>
      <c r="O1" s="7"/>
      <c r="P1" s="5" t="s">
        <v>576</v>
      </c>
      <c r="Q1" s="6"/>
      <c r="R1" s="7"/>
    </row>
    <row r="2">
      <c r="A2" s="8"/>
      <c r="B2" s="9" t="s">
        <v>10</v>
      </c>
      <c r="C2" s="9" t="s">
        <v>10</v>
      </c>
      <c r="D2" s="9" t="s">
        <v>382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  <c r="P2" s="12" t="s">
        <v>5</v>
      </c>
      <c r="Q2" s="12" t="s">
        <v>6</v>
      </c>
      <c r="R2" s="12" t="s">
        <v>7</v>
      </c>
    </row>
    <row r="3">
      <c r="A3" s="13" t="s">
        <v>8</v>
      </c>
      <c r="B3" s="9" t="s">
        <v>12</v>
      </c>
      <c r="C3" s="9" t="s">
        <v>12</v>
      </c>
      <c r="D3" s="9" t="s">
        <v>297</v>
      </c>
      <c r="E3" s="10"/>
      <c r="F3" s="14" t="s">
        <v>9</v>
      </c>
      <c r="G3" s="15" t="s">
        <v>10</v>
      </c>
      <c r="H3" s="15" t="s">
        <v>10</v>
      </c>
      <c r="I3" s="15" t="s">
        <v>292</v>
      </c>
      <c r="J3" s="15" t="s">
        <v>292</v>
      </c>
      <c r="K3" s="15" t="s">
        <v>10</v>
      </c>
      <c r="L3" s="15" t="s">
        <v>10</v>
      </c>
      <c r="M3" s="15" t="s">
        <v>12</v>
      </c>
      <c r="N3" s="15" t="s">
        <v>292</v>
      </c>
      <c r="O3" s="15" t="s">
        <v>12</v>
      </c>
      <c r="P3" s="15" t="s">
        <v>10</v>
      </c>
      <c r="Q3" s="15" t="s">
        <v>10</v>
      </c>
      <c r="R3" s="15" t="s">
        <v>11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12</v>
      </c>
      <c r="I4" s="15" t="s">
        <v>297</v>
      </c>
      <c r="J4" s="15" t="s">
        <v>297</v>
      </c>
      <c r="K4" s="15" t="s">
        <v>12</v>
      </c>
      <c r="L4" s="15" t="s">
        <v>12</v>
      </c>
      <c r="M4" s="15" t="s">
        <v>12</v>
      </c>
      <c r="N4" s="15" t="s">
        <v>291</v>
      </c>
      <c r="O4" s="15" t="s">
        <v>12</v>
      </c>
      <c r="P4" s="15" t="s">
        <v>12</v>
      </c>
      <c r="Q4" s="15" t="s">
        <v>12</v>
      </c>
      <c r="R4" s="15" t="s">
        <v>297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48"/>
      <c r="H6" s="262"/>
      <c r="I6" s="248" t="s">
        <v>24</v>
      </c>
      <c r="J6" s="248" t="s">
        <v>24</v>
      </c>
      <c r="K6" s="262"/>
      <c r="L6" s="248"/>
      <c r="M6" s="248" t="s">
        <v>12</v>
      </c>
      <c r="N6" s="262" t="s">
        <v>24</v>
      </c>
      <c r="O6" s="248" t="s">
        <v>12</v>
      </c>
      <c r="P6" s="274"/>
      <c r="Q6" s="262"/>
      <c r="R6" s="320" t="s">
        <v>577</v>
      </c>
    </row>
    <row r="7">
      <c r="A7" s="32"/>
      <c r="B7" s="32"/>
      <c r="C7" s="91" t="s">
        <v>345</v>
      </c>
      <c r="D7" s="10"/>
      <c r="E7" s="247" t="s">
        <v>383</v>
      </c>
      <c r="F7" s="17"/>
      <c r="G7" s="248"/>
      <c r="H7" s="262"/>
      <c r="I7" s="345" t="s">
        <v>551</v>
      </c>
      <c r="J7" s="248" t="s">
        <v>24</v>
      </c>
      <c r="K7" s="262"/>
      <c r="L7" s="248"/>
      <c r="M7" s="248" t="s">
        <v>12</v>
      </c>
      <c r="N7" s="262" t="s">
        <v>24</v>
      </c>
      <c r="O7" s="248" t="s">
        <v>12</v>
      </c>
      <c r="P7" s="262"/>
      <c r="Q7" s="262"/>
      <c r="R7" s="262" t="s">
        <v>24</v>
      </c>
    </row>
    <row r="8">
      <c r="A8" s="32"/>
      <c r="B8" s="32"/>
      <c r="C8" s="91" t="s">
        <v>347</v>
      </c>
      <c r="D8" s="10"/>
      <c r="E8" s="249" t="s">
        <v>308</v>
      </c>
      <c r="F8" s="17"/>
      <c r="G8" s="328"/>
      <c r="H8" s="340"/>
      <c r="I8" s="248" t="s">
        <v>24</v>
      </c>
      <c r="J8" s="345" t="s">
        <v>578</v>
      </c>
      <c r="K8" s="340"/>
      <c r="L8" s="248"/>
      <c r="M8" s="248" t="s">
        <v>12</v>
      </c>
      <c r="N8" s="350" t="s">
        <v>579</v>
      </c>
      <c r="O8" s="248" t="s">
        <v>12</v>
      </c>
      <c r="P8" s="274"/>
      <c r="Q8" s="262"/>
      <c r="R8" s="351" t="s">
        <v>580</v>
      </c>
    </row>
    <row r="9">
      <c r="A9" s="32"/>
      <c r="B9" s="32"/>
      <c r="C9" s="77" t="s">
        <v>481</v>
      </c>
      <c r="D9" s="10"/>
      <c r="E9" s="245" t="s">
        <v>100</v>
      </c>
      <c r="F9" s="17"/>
      <c r="G9" s="248"/>
      <c r="H9" s="274"/>
      <c r="I9" s="248" t="s">
        <v>24</v>
      </c>
      <c r="J9" s="248" t="s">
        <v>24</v>
      </c>
      <c r="K9" s="274"/>
      <c r="L9" s="248"/>
      <c r="M9" s="248" t="s">
        <v>12</v>
      </c>
      <c r="N9" s="284" t="s">
        <v>581</v>
      </c>
      <c r="O9" s="248" t="s">
        <v>12</v>
      </c>
      <c r="P9" s="274"/>
      <c r="Q9" s="262"/>
      <c r="R9" s="284" t="s">
        <v>581</v>
      </c>
    </row>
    <row r="10">
      <c r="A10" s="32"/>
      <c r="B10" s="32"/>
      <c r="C10" s="77" t="s">
        <v>354</v>
      </c>
      <c r="D10" s="10"/>
      <c r="E10" s="10"/>
      <c r="F10" s="213" t="s">
        <v>83</v>
      </c>
      <c r="G10" s="248"/>
      <c r="H10" s="262"/>
      <c r="I10" s="248" t="s">
        <v>24</v>
      </c>
      <c r="J10" s="248" t="s">
        <v>24</v>
      </c>
      <c r="K10" s="262"/>
      <c r="L10" s="248"/>
      <c r="M10" s="248" t="s">
        <v>12</v>
      </c>
      <c r="N10" s="262" t="s">
        <v>24</v>
      </c>
      <c r="O10" s="248" t="s">
        <v>12</v>
      </c>
      <c r="P10" s="262"/>
      <c r="Q10" s="262"/>
      <c r="R10" s="262" t="s">
        <v>24</v>
      </c>
    </row>
    <row r="11">
      <c r="A11" s="32"/>
      <c r="B11" s="32"/>
      <c r="C11" s="85" t="s">
        <v>527</v>
      </c>
      <c r="D11" s="10"/>
      <c r="E11" s="245" t="s">
        <v>34</v>
      </c>
      <c r="F11" s="17"/>
      <c r="G11" s="248"/>
      <c r="H11" s="262"/>
      <c r="I11" s="342" t="s">
        <v>553</v>
      </c>
      <c r="J11" s="248" t="s">
        <v>24</v>
      </c>
      <c r="K11" s="262"/>
      <c r="L11" s="248"/>
      <c r="M11" s="248" t="s">
        <v>12</v>
      </c>
      <c r="N11" s="262" t="s">
        <v>24</v>
      </c>
      <c r="O11" s="248" t="s">
        <v>12</v>
      </c>
      <c r="P11" s="274"/>
      <c r="Q11" s="262"/>
      <c r="R11" s="253" t="s">
        <v>24</v>
      </c>
    </row>
    <row r="12">
      <c r="A12" s="32"/>
      <c r="B12" s="32"/>
      <c r="C12" s="77" t="s">
        <v>357</v>
      </c>
      <c r="D12" s="10"/>
      <c r="E12" s="245" t="s">
        <v>34</v>
      </c>
      <c r="F12" s="17"/>
      <c r="G12" s="248"/>
      <c r="H12" s="262"/>
      <c r="I12" s="248" t="s">
        <v>24</v>
      </c>
      <c r="J12" s="248" t="s">
        <v>24</v>
      </c>
      <c r="K12" s="262"/>
      <c r="L12" s="248"/>
      <c r="M12" s="248" t="s">
        <v>12</v>
      </c>
      <c r="N12" s="262" t="s">
        <v>24</v>
      </c>
      <c r="O12" s="248" t="s">
        <v>12</v>
      </c>
      <c r="P12" s="262"/>
      <c r="Q12" s="262"/>
      <c r="R12" s="262" t="s">
        <v>24</v>
      </c>
    </row>
    <row r="13">
      <c r="A13" s="32"/>
      <c r="B13" s="37"/>
      <c r="C13" s="77" t="s">
        <v>396</v>
      </c>
      <c r="D13" s="10"/>
      <c r="E13" s="245" t="s">
        <v>100</v>
      </c>
      <c r="F13" s="213" t="s">
        <v>103</v>
      </c>
      <c r="G13" s="248"/>
      <c r="H13" s="262"/>
      <c r="I13" s="248" t="s">
        <v>24</v>
      </c>
      <c r="J13" s="248" t="s">
        <v>24</v>
      </c>
      <c r="K13" s="262"/>
      <c r="L13" s="248"/>
      <c r="M13" s="248" t="s">
        <v>12</v>
      </c>
      <c r="N13" s="262" t="s">
        <v>24</v>
      </c>
      <c r="O13" s="248" t="s">
        <v>12</v>
      </c>
      <c r="P13" s="262"/>
      <c r="Q13" s="262"/>
      <c r="R13" s="262" t="s">
        <v>24</v>
      </c>
    </row>
    <row r="14">
      <c r="A14" s="32"/>
      <c r="B14" s="216" t="s">
        <v>362</v>
      </c>
      <c r="C14" s="204" t="s">
        <v>363</v>
      </c>
      <c r="D14" s="10"/>
      <c r="E14" s="10"/>
      <c r="F14" s="213" t="s">
        <v>364</v>
      </c>
      <c r="G14" s="328"/>
      <c r="H14" s="274"/>
      <c r="I14" s="248" t="s">
        <v>24</v>
      </c>
      <c r="J14" s="345" t="s">
        <v>582</v>
      </c>
      <c r="K14" s="274"/>
      <c r="L14" s="248"/>
      <c r="M14" s="248" t="s">
        <v>12</v>
      </c>
      <c r="N14" s="352" t="s">
        <v>583</v>
      </c>
      <c r="O14" s="248" t="s">
        <v>12</v>
      </c>
      <c r="P14" s="298"/>
      <c r="Q14" s="262"/>
      <c r="R14" s="311" t="s">
        <v>584</v>
      </c>
    </row>
    <row r="15">
      <c r="A15" s="32"/>
      <c r="B15" s="37"/>
      <c r="C15" s="329" t="s">
        <v>529</v>
      </c>
      <c r="D15" s="10"/>
      <c r="E15" s="10"/>
      <c r="F15" s="213" t="s">
        <v>530</v>
      </c>
      <c r="G15" s="248"/>
      <c r="H15" s="343"/>
      <c r="I15" s="248" t="s">
        <v>24</v>
      </c>
      <c r="J15" s="248" t="s">
        <v>24</v>
      </c>
      <c r="K15" s="343"/>
      <c r="L15" s="248"/>
      <c r="M15" s="248" t="s">
        <v>12</v>
      </c>
      <c r="N15" s="343"/>
      <c r="O15" s="248" t="s">
        <v>12</v>
      </c>
      <c r="P15" s="262"/>
      <c r="Q15" s="343"/>
      <c r="R15" s="351" t="s">
        <v>585</v>
      </c>
    </row>
    <row r="16">
      <c r="A16" s="203" t="s">
        <v>108</v>
      </c>
      <c r="B16" s="102" t="s">
        <v>109</v>
      </c>
      <c r="C16" s="77" t="s">
        <v>110</v>
      </c>
      <c r="D16" s="10"/>
      <c r="E16" s="10"/>
      <c r="F16" s="17"/>
      <c r="G16" s="248"/>
      <c r="H16" s="262"/>
      <c r="I16" s="248" t="s">
        <v>24</v>
      </c>
      <c r="J16" s="248" t="s">
        <v>24</v>
      </c>
      <c r="K16" s="262"/>
      <c r="L16" s="248"/>
      <c r="M16" s="248" t="s">
        <v>12</v>
      </c>
      <c r="N16" s="262" t="s">
        <v>24</v>
      </c>
      <c r="O16" s="248" t="s">
        <v>12</v>
      </c>
      <c r="P16" s="274"/>
      <c r="Q16" s="262"/>
      <c r="R16" s="253" t="s">
        <v>24</v>
      </c>
    </row>
    <row r="17">
      <c r="A17" s="32"/>
      <c r="B17" s="32"/>
      <c r="C17" s="77" t="s">
        <v>112</v>
      </c>
      <c r="D17" s="10"/>
      <c r="E17" s="10"/>
      <c r="F17" s="17"/>
      <c r="G17" s="248"/>
      <c r="H17" s="262"/>
      <c r="I17" s="248" t="s">
        <v>24</v>
      </c>
      <c r="J17" s="248" t="s">
        <v>24</v>
      </c>
      <c r="K17" s="262"/>
      <c r="L17" s="248"/>
      <c r="M17" s="248" t="s">
        <v>12</v>
      </c>
      <c r="N17" s="262" t="s">
        <v>24</v>
      </c>
      <c r="O17" s="248" t="s">
        <v>12</v>
      </c>
      <c r="P17" s="262"/>
      <c r="Q17" s="262"/>
      <c r="R17" s="262" t="s">
        <v>24</v>
      </c>
    </row>
    <row r="18">
      <c r="A18" s="32"/>
      <c r="B18" s="32"/>
      <c r="C18" s="83" t="s">
        <v>114</v>
      </c>
      <c r="D18" s="10"/>
      <c r="E18" s="243" t="s">
        <v>115</v>
      </c>
      <c r="F18" s="17"/>
      <c r="G18" s="248"/>
      <c r="H18" s="262"/>
      <c r="I18" s="345" t="s">
        <v>557</v>
      </c>
      <c r="J18" s="248" t="s">
        <v>24</v>
      </c>
      <c r="K18" s="262"/>
      <c r="L18" s="248"/>
      <c r="M18" s="248" t="s">
        <v>12</v>
      </c>
      <c r="N18" s="262" t="s">
        <v>24</v>
      </c>
      <c r="O18" s="248" t="s">
        <v>12</v>
      </c>
      <c r="P18" s="262"/>
      <c r="Q18" s="262"/>
      <c r="R18" s="262" t="s">
        <v>24</v>
      </c>
    </row>
    <row r="19">
      <c r="A19" s="32"/>
      <c r="B19" s="32"/>
      <c r="C19" s="85" t="s">
        <v>116</v>
      </c>
      <c r="D19" s="10"/>
      <c r="E19" s="10"/>
      <c r="F19" s="213" t="s">
        <v>117</v>
      </c>
      <c r="G19" s="248"/>
      <c r="H19" s="262"/>
      <c r="I19" s="248" t="s">
        <v>24</v>
      </c>
      <c r="J19" s="248" t="s">
        <v>24</v>
      </c>
      <c r="K19" s="262"/>
      <c r="L19" s="248"/>
      <c r="M19" s="248" t="s">
        <v>12</v>
      </c>
      <c r="N19" s="262" t="s">
        <v>24</v>
      </c>
      <c r="O19" s="248" t="s">
        <v>12</v>
      </c>
      <c r="P19" s="262"/>
      <c r="Q19" s="262"/>
      <c r="R19" s="262" t="s">
        <v>24</v>
      </c>
    </row>
    <row r="20">
      <c r="A20" s="32"/>
      <c r="B20" s="32"/>
      <c r="C20" s="87" t="s">
        <v>118</v>
      </c>
      <c r="D20" s="10"/>
      <c r="E20" s="252" t="s">
        <v>386</v>
      </c>
      <c r="F20" s="213"/>
      <c r="G20" s="248"/>
      <c r="H20" s="260"/>
      <c r="I20" s="248" t="s">
        <v>24</v>
      </c>
      <c r="J20" s="248" t="s">
        <v>24</v>
      </c>
      <c r="K20" s="260"/>
      <c r="L20" s="248"/>
      <c r="M20" s="248" t="s">
        <v>12</v>
      </c>
      <c r="N20" s="260" t="s">
        <v>24</v>
      </c>
      <c r="O20" s="248" t="s">
        <v>12</v>
      </c>
      <c r="P20" s="262"/>
      <c r="Q20" s="260"/>
      <c r="R20" s="262" t="s">
        <v>24</v>
      </c>
    </row>
    <row r="21">
      <c r="A21" s="32"/>
      <c r="B21" s="32"/>
      <c r="C21" s="90" t="s">
        <v>120</v>
      </c>
      <c r="D21" s="10"/>
      <c r="E21" s="252" t="s">
        <v>121</v>
      </c>
      <c r="F21" s="213" t="s">
        <v>122</v>
      </c>
      <c r="G21" s="328"/>
      <c r="H21" s="260"/>
      <c r="I21" s="248" t="s">
        <v>24</v>
      </c>
      <c r="J21" s="345" t="s">
        <v>586</v>
      </c>
      <c r="K21" s="260"/>
      <c r="L21" s="248"/>
      <c r="M21" s="248" t="s">
        <v>12</v>
      </c>
      <c r="N21" s="260"/>
      <c r="O21" s="248" t="s">
        <v>12</v>
      </c>
      <c r="P21" s="262"/>
      <c r="Q21" s="260"/>
      <c r="R21" s="262" t="s">
        <v>24</v>
      </c>
    </row>
    <row r="22">
      <c r="A22" s="32"/>
      <c r="B22" s="32"/>
      <c r="C22" s="91" t="s">
        <v>123</v>
      </c>
      <c r="D22" s="10"/>
      <c r="E22" s="10"/>
      <c r="F22" s="213" t="s">
        <v>124</v>
      </c>
      <c r="G22" s="328"/>
      <c r="H22" s="262"/>
      <c r="I22" s="248" t="s">
        <v>24</v>
      </c>
      <c r="J22" s="345" t="s">
        <v>586</v>
      </c>
      <c r="K22" s="262"/>
      <c r="L22" s="248"/>
      <c r="M22" s="248" t="s">
        <v>12</v>
      </c>
      <c r="N22" s="262"/>
      <c r="O22" s="248" t="s">
        <v>12</v>
      </c>
      <c r="P22" s="262"/>
      <c r="Q22" s="262"/>
      <c r="R22" s="262" t="s">
        <v>24</v>
      </c>
    </row>
    <row r="23">
      <c r="A23" s="32"/>
      <c r="B23" s="32"/>
      <c r="C23" s="92" t="s">
        <v>125</v>
      </c>
      <c r="D23" s="10"/>
      <c r="E23" s="10"/>
      <c r="F23" s="213" t="s">
        <v>126</v>
      </c>
      <c r="G23" s="248"/>
      <c r="H23" s="262"/>
      <c r="I23" s="248" t="s">
        <v>24</v>
      </c>
      <c r="J23" s="248" t="s">
        <v>24</v>
      </c>
      <c r="K23" s="262"/>
      <c r="L23" s="248"/>
      <c r="M23" s="248" t="s">
        <v>12</v>
      </c>
      <c r="N23" s="262"/>
      <c r="O23" s="248" t="s">
        <v>12</v>
      </c>
      <c r="P23" s="274"/>
      <c r="Q23" s="262"/>
      <c r="R23" s="248" t="s">
        <v>24</v>
      </c>
    </row>
    <row r="24">
      <c r="A24" s="32"/>
      <c r="B24" s="32"/>
      <c r="C24" s="77" t="s">
        <v>127</v>
      </c>
      <c r="D24" s="10"/>
      <c r="E24" s="10"/>
      <c r="F24" s="213" t="s">
        <v>128</v>
      </c>
      <c r="G24" s="328"/>
      <c r="H24" s="262"/>
      <c r="I24" s="248" t="s">
        <v>24</v>
      </c>
      <c r="J24" s="345" t="s">
        <v>586</v>
      </c>
      <c r="K24" s="262"/>
      <c r="L24" s="248"/>
      <c r="M24" s="248" t="s">
        <v>12</v>
      </c>
      <c r="N24" s="262"/>
      <c r="O24" s="248" t="s">
        <v>12</v>
      </c>
      <c r="P24" s="262"/>
      <c r="Q24" s="262"/>
      <c r="R24" s="262" t="s">
        <v>24</v>
      </c>
    </row>
    <row r="25">
      <c r="A25" s="32"/>
      <c r="B25" s="32"/>
      <c r="C25" s="93" t="s">
        <v>129</v>
      </c>
      <c r="D25" s="10"/>
      <c r="E25" s="245" t="s">
        <v>313</v>
      </c>
      <c r="F25" s="17"/>
      <c r="G25" s="248"/>
      <c r="H25" s="262"/>
      <c r="I25" s="248" t="s">
        <v>24</v>
      </c>
      <c r="J25" s="248" t="s">
        <v>24</v>
      </c>
      <c r="K25" s="262"/>
      <c r="L25" s="248"/>
      <c r="M25" s="248" t="s">
        <v>12</v>
      </c>
      <c r="N25" s="262"/>
      <c r="O25" s="248" t="s">
        <v>12</v>
      </c>
      <c r="P25" s="262"/>
      <c r="Q25" s="262"/>
      <c r="R25" s="262" t="s">
        <v>24</v>
      </c>
    </row>
    <row r="26">
      <c r="A26" s="32"/>
      <c r="B26" s="32"/>
      <c r="C26" s="92" t="s">
        <v>368</v>
      </c>
      <c r="D26" s="10"/>
      <c r="E26" s="10"/>
      <c r="F26" s="17"/>
      <c r="G26" s="248"/>
      <c r="H26" s="262"/>
      <c r="I26" s="248" t="s">
        <v>24</v>
      </c>
      <c r="J26" s="248" t="s">
        <v>24</v>
      </c>
      <c r="K26" s="262"/>
      <c r="L26" s="248"/>
      <c r="M26" s="248" t="s">
        <v>12</v>
      </c>
      <c r="N26" s="262" t="s">
        <v>24</v>
      </c>
      <c r="O26" s="248" t="s">
        <v>12</v>
      </c>
      <c r="P26" s="262"/>
      <c r="Q26" s="262"/>
      <c r="R26" s="262" t="s">
        <v>24</v>
      </c>
    </row>
    <row r="27">
      <c r="A27" s="32"/>
      <c r="B27" s="32"/>
      <c r="C27" s="98" t="s">
        <v>134</v>
      </c>
      <c r="D27" s="10"/>
      <c r="E27" s="10"/>
      <c r="F27" s="221" t="s">
        <v>136</v>
      </c>
      <c r="G27" s="328"/>
      <c r="H27" s="262"/>
      <c r="I27" s="248" t="s">
        <v>24</v>
      </c>
      <c r="J27" s="345" t="s">
        <v>578</v>
      </c>
      <c r="K27" s="262"/>
      <c r="L27" s="248"/>
      <c r="M27" s="248" t="s">
        <v>12</v>
      </c>
      <c r="N27" s="262"/>
      <c r="O27" s="248" t="s">
        <v>12</v>
      </c>
      <c r="P27" s="353"/>
      <c r="Q27" s="262"/>
      <c r="R27" s="284" t="s">
        <v>587</v>
      </c>
    </row>
    <row r="28">
      <c r="A28" s="32"/>
      <c r="B28" s="32"/>
      <c r="C28" s="92" t="s">
        <v>137</v>
      </c>
      <c r="D28" s="10"/>
      <c r="E28" s="10"/>
      <c r="F28" s="17"/>
      <c r="G28" s="248"/>
      <c r="H28" s="262"/>
      <c r="I28" s="248" t="s">
        <v>24</v>
      </c>
      <c r="J28" s="248" t="s">
        <v>24</v>
      </c>
      <c r="K28" s="262"/>
      <c r="L28" s="248"/>
      <c r="M28" s="248" t="s">
        <v>12</v>
      </c>
      <c r="N28" s="262"/>
      <c r="O28" s="248" t="s">
        <v>12</v>
      </c>
      <c r="P28" s="274"/>
      <c r="Q28" s="262"/>
      <c r="R28" s="262" t="s">
        <v>24</v>
      </c>
    </row>
    <row r="29">
      <c r="A29" s="32"/>
      <c r="B29" s="32"/>
      <c r="C29" s="92" t="s">
        <v>138</v>
      </c>
      <c r="D29" s="10"/>
      <c r="E29" s="10"/>
      <c r="F29" s="17"/>
      <c r="G29" s="248"/>
      <c r="H29" s="262"/>
      <c r="I29" s="248" t="s">
        <v>24</v>
      </c>
      <c r="J29" s="248" t="s">
        <v>24</v>
      </c>
      <c r="K29" s="262"/>
      <c r="L29" s="248"/>
      <c r="M29" s="248" t="s">
        <v>12</v>
      </c>
      <c r="N29" s="262"/>
      <c r="O29" s="248" t="s">
        <v>12</v>
      </c>
      <c r="P29" s="262"/>
      <c r="Q29" s="262"/>
      <c r="R29" s="284" t="s">
        <v>588</v>
      </c>
    </row>
    <row r="30">
      <c r="A30" s="32"/>
      <c r="B30" s="37"/>
      <c r="C30" s="101" t="s">
        <v>139</v>
      </c>
      <c r="D30" s="10"/>
      <c r="E30" s="10"/>
      <c r="F30" s="17"/>
      <c r="G30" s="248"/>
      <c r="H30" s="262"/>
      <c r="I30" s="248" t="s">
        <v>24</v>
      </c>
      <c r="J30" s="248" t="s">
        <v>24</v>
      </c>
      <c r="K30" s="262"/>
      <c r="L30" s="248"/>
      <c r="M30" s="248" t="s">
        <v>12</v>
      </c>
      <c r="N30" s="262"/>
      <c r="O30" s="248" t="s">
        <v>12</v>
      </c>
      <c r="P30" s="262"/>
      <c r="Q30" s="262"/>
      <c r="R30" s="262" t="s">
        <v>24</v>
      </c>
    </row>
    <row r="31">
      <c r="A31" s="32"/>
      <c r="B31" s="102" t="s">
        <v>140</v>
      </c>
      <c r="C31" s="103" t="s">
        <v>141</v>
      </c>
      <c r="D31" s="245" t="s">
        <v>180</v>
      </c>
      <c r="E31" s="245" t="s">
        <v>453</v>
      </c>
      <c r="F31" s="17"/>
      <c r="G31" s="328"/>
      <c r="H31" s="262"/>
      <c r="I31" s="248" t="s">
        <v>24</v>
      </c>
      <c r="J31" s="345" t="s">
        <v>586</v>
      </c>
      <c r="K31" s="262"/>
      <c r="L31" s="248"/>
      <c r="M31" s="248" t="s">
        <v>12</v>
      </c>
      <c r="N31" s="262"/>
      <c r="O31" s="248" t="s">
        <v>12</v>
      </c>
      <c r="P31" s="262"/>
      <c r="Q31" s="262"/>
      <c r="R31" s="284" t="s">
        <v>589</v>
      </c>
    </row>
    <row r="32">
      <c r="A32" s="32"/>
      <c r="B32" s="32"/>
      <c r="C32" s="93" t="s">
        <v>146</v>
      </c>
      <c r="D32" s="10"/>
      <c r="E32" s="10"/>
      <c r="F32" s="213" t="s">
        <v>147</v>
      </c>
      <c r="G32" s="328"/>
      <c r="H32" s="262"/>
      <c r="I32" s="248" t="s">
        <v>24</v>
      </c>
      <c r="J32" s="345" t="s">
        <v>586</v>
      </c>
      <c r="K32" s="262"/>
      <c r="L32" s="248"/>
      <c r="M32" s="248" t="s">
        <v>12</v>
      </c>
      <c r="N32" s="262"/>
      <c r="O32" s="248" t="s">
        <v>12</v>
      </c>
      <c r="P32" s="262"/>
      <c r="Q32" s="262"/>
      <c r="R32" s="262"/>
    </row>
    <row r="33">
      <c r="A33" s="32"/>
      <c r="B33" s="32"/>
      <c r="C33" s="107" t="s">
        <v>148</v>
      </c>
      <c r="D33" s="10"/>
      <c r="E33" s="10"/>
      <c r="F33" s="213" t="s">
        <v>149</v>
      </c>
      <c r="G33" s="248"/>
      <c r="H33" s="262"/>
      <c r="I33" s="248" t="s">
        <v>24</v>
      </c>
      <c r="J33" s="248" t="s">
        <v>24</v>
      </c>
      <c r="K33" s="262"/>
      <c r="L33" s="248"/>
      <c r="M33" s="248" t="s">
        <v>12</v>
      </c>
      <c r="N33" s="262"/>
      <c r="O33" s="248" t="s">
        <v>12</v>
      </c>
      <c r="P33" s="262"/>
      <c r="Q33" s="262"/>
      <c r="R33" s="320" t="s">
        <v>590</v>
      </c>
    </row>
    <row r="34">
      <c r="A34" s="32"/>
      <c r="B34" s="32"/>
      <c r="C34" s="108" t="s">
        <v>150</v>
      </c>
      <c r="D34" s="10"/>
      <c r="E34" s="10"/>
      <c r="F34" s="213" t="s">
        <v>149</v>
      </c>
      <c r="G34" s="328"/>
      <c r="H34" s="262"/>
      <c r="I34" s="248" t="s">
        <v>24</v>
      </c>
      <c r="J34" s="345" t="s">
        <v>586</v>
      </c>
      <c r="K34" s="262"/>
      <c r="L34" s="248"/>
      <c r="M34" s="248" t="s">
        <v>12</v>
      </c>
      <c r="N34" s="262"/>
      <c r="O34" s="248" t="s">
        <v>12</v>
      </c>
      <c r="P34" s="262"/>
      <c r="Q34" s="262"/>
      <c r="R34" s="262"/>
    </row>
    <row r="35">
      <c r="A35" s="32"/>
      <c r="B35" s="32"/>
      <c r="C35" s="307" t="s">
        <v>488</v>
      </c>
      <c r="D35" s="10"/>
      <c r="E35" s="10"/>
      <c r="F35" s="17"/>
      <c r="G35" s="248"/>
      <c r="H35" s="262"/>
      <c r="I35" s="342" t="s">
        <v>591</v>
      </c>
      <c r="J35" s="248" t="s">
        <v>24</v>
      </c>
      <c r="K35" s="262"/>
      <c r="L35" s="248"/>
      <c r="M35" s="248" t="s">
        <v>12</v>
      </c>
      <c r="N35" s="262"/>
      <c r="O35" s="248" t="s">
        <v>12</v>
      </c>
      <c r="P35" s="262"/>
      <c r="Q35" s="262"/>
      <c r="R35" s="262" t="s">
        <v>24</v>
      </c>
    </row>
    <row r="36">
      <c r="A36" s="32"/>
      <c r="B36" s="32"/>
      <c r="C36" s="111" t="s">
        <v>155</v>
      </c>
      <c r="D36" s="10"/>
      <c r="E36" s="10"/>
      <c r="F36" s="221" t="s">
        <v>397</v>
      </c>
      <c r="G36" s="328"/>
      <c r="H36" s="274"/>
      <c r="I36" s="328" t="s">
        <v>397</v>
      </c>
      <c r="J36" s="328" t="s">
        <v>397</v>
      </c>
      <c r="K36" s="274"/>
      <c r="L36" s="248"/>
      <c r="M36" s="248" t="s">
        <v>12</v>
      </c>
      <c r="N36" s="274"/>
      <c r="O36" s="248" t="s">
        <v>12</v>
      </c>
      <c r="P36" s="354"/>
      <c r="Q36" s="274"/>
      <c r="R36" s="274" t="s">
        <v>397</v>
      </c>
    </row>
    <row r="37">
      <c r="A37" s="32"/>
      <c r="B37" s="32"/>
      <c r="C37" s="107" t="s">
        <v>556</v>
      </c>
      <c r="D37" s="10"/>
      <c r="E37" s="10"/>
      <c r="F37" s="17"/>
      <c r="G37" s="248"/>
      <c r="H37" s="343"/>
      <c r="I37" s="248" t="s">
        <v>24</v>
      </c>
      <c r="J37" s="248" t="s">
        <v>24</v>
      </c>
      <c r="K37" s="343"/>
      <c r="L37" s="248"/>
      <c r="M37" s="248" t="s">
        <v>12</v>
      </c>
      <c r="N37" s="343"/>
      <c r="O37" s="248" t="s">
        <v>12</v>
      </c>
      <c r="P37" s="262"/>
      <c r="Q37" s="343"/>
      <c r="R37" s="284" t="s">
        <v>592</v>
      </c>
    </row>
    <row r="38">
      <c r="A38" s="32"/>
      <c r="B38" s="32"/>
      <c r="C38" s="112" t="s">
        <v>157</v>
      </c>
      <c r="D38" s="10"/>
      <c r="E38" s="243" t="s">
        <v>158</v>
      </c>
      <c r="F38" s="17"/>
      <c r="G38" s="248"/>
      <c r="H38" s="262"/>
      <c r="I38" s="248" t="s">
        <v>24</v>
      </c>
      <c r="J38" s="248" t="s">
        <v>24</v>
      </c>
      <c r="K38" s="262"/>
      <c r="L38" s="248"/>
      <c r="M38" s="248" t="s">
        <v>12</v>
      </c>
      <c r="N38" s="262"/>
      <c r="O38" s="248" t="s">
        <v>12</v>
      </c>
      <c r="P38" s="262"/>
      <c r="Q38" s="262"/>
      <c r="R38" s="262"/>
    </row>
    <row r="39">
      <c r="A39" s="32"/>
      <c r="B39" s="32"/>
      <c r="C39" s="83" t="s">
        <v>159</v>
      </c>
      <c r="D39" s="10"/>
      <c r="E39" s="10"/>
      <c r="F39" s="17"/>
      <c r="G39" s="248"/>
      <c r="H39" s="262"/>
      <c r="I39" s="248" t="s">
        <v>24</v>
      </c>
      <c r="J39" s="248" t="s">
        <v>24</v>
      </c>
      <c r="K39" s="262"/>
      <c r="L39" s="248"/>
      <c r="M39" s="248" t="s">
        <v>12</v>
      </c>
      <c r="N39" s="262"/>
      <c r="O39" s="248" t="s">
        <v>12</v>
      </c>
      <c r="P39" s="262"/>
      <c r="Q39" s="262"/>
      <c r="R39" s="262"/>
    </row>
    <row r="40">
      <c r="A40" s="32"/>
      <c r="B40" s="32"/>
      <c r="C40" s="93" t="s">
        <v>161</v>
      </c>
      <c r="D40" s="10"/>
      <c r="E40" s="10"/>
      <c r="F40" s="17"/>
      <c r="G40" s="328"/>
      <c r="H40" s="262"/>
      <c r="I40" s="248" t="s">
        <v>24</v>
      </c>
      <c r="J40" s="345" t="s">
        <v>578</v>
      </c>
      <c r="K40" s="262"/>
      <c r="L40" s="248"/>
      <c r="M40" s="248" t="s">
        <v>12</v>
      </c>
      <c r="N40" s="262"/>
      <c r="O40" s="248" t="s">
        <v>12</v>
      </c>
      <c r="P40" s="262"/>
      <c r="Q40" s="262"/>
      <c r="R40" s="262" t="s">
        <v>24</v>
      </c>
    </row>
    <row r="41">
      <c r="A41" s="32"/>
      <c r="B41" s="32"/>
      <c r="C41" s="93" t="s">
        <v>162</v>
      </c>
      <c r="D41" s="10"/>
      <c r="E41" s="10"/>
      <c r="F41" s="223"/>
      <c r="G41" s="328"/>
      <c r="H41" s="262"/>
      <c r="I41" s="248" t="s">
        <v>24</v>
      </c>
      <c r="J41" s="345" t="s">
        <v>578</v>
      </c>
      <c r="K41" s="262"/>
      <c r="L41" s="248"/>
      <c r="M41" s="248" t="s">
        <v>12</v>
      </c>
      <c r="N41" s="262"/>
      <c r="O41" s="248" t="s">
        <v>12</v>
      </c>
      <c r="P41" s="274"/>
      <c r="Q41" s="262"/>
      <c r="R41" s="262"/>
    </row>
    <row r="42">
      <c r="A42" s="32"/>
      <c r="B42" s="32"/>
      <c r="C42" s="106" t="s">
        <v>164</v>
      </c>
      <c r="D42" s="10"/>
      <c r="E42" s="10"/>
      <c r="F42" s="224" t="s">
        <v>165</v>
      </c>
      <c r="G42" s="248"/>
      <c r="H42" s="262"/>
      <c r="I42" s="248" t="s">
        <v>24</v>
      </c>
      <c r="J42" s="248" t="s">
        <v>24</v>
      </c>
      <c r="K42" s="262"/>
      <c r="L42" s="248"/>
      <c r="M42" s="248" t="s">
        <v>12</v>
      </c>
      <c r="N42" s="262"/>
      <c r="O42" s="248" t="s">
        <v>12</v>
      </c>
      <c r="P42" s="262"/>
      <c r="Q42" s="262"/>
      <c r="R42" s="262"/>
    </row>
    <row r="43">
      <c r="A43" s="32"/>
      <c r="B43" s="37"/>
      <c r="C43" s="93" t="s">
        <v>168</v>
      </c>
      <c r="D43" s="10"/>
      <c r="E43" s="10"/>
      <c r="F43" s="17"/>
      <c r="G43" s="248"/>
      <c r="H43" s="262"/>
      <c r="I43" s="248" t="s">
        <v>24</v>
      </c>
      <c r="J43" s="248" t="s">
        <v>24</v>
      </c>
      <c r="K43" s="262"/>
      <c r="L43" s="248"/>
      <c r="M43" s="248" t="s">
        <v>12</v>
      </c>
      <c r="N43" s="262"/>
      <c r="O43" s="248" t="s">
        <v>12</v>
      </c>
      <c r="P43" s="262"/>
      <c r="Q43" s="262"/>
      <c r="R43" s="262"/>
    </row>
    <row r="44">
      <c r="A44" s="32"/>
      <c r="B44" s="115" t="s">
        <v>169</v>
      </c>
      <c r="C44" s="85" t="s">
        <v>141</v>
      </c>
      <c r="D44" s="10"/>
      <c r="E44" s="10"/>
      <c r="F44" s="213" t="s">
        <v>170</v>
      </c>
      <c r="G44" s="248"/>
      <c r="H44" s="262"/>
      <c r="I44" s="248" t="s">
        <v>24</v>
      </c>
      <c r="J44" s="248" t="s">
        <v>24</v>
      </c>
      <c r="K44" s="262"/>
      <c r="L44" s="248"/>
      <c r="M44" s="248" t="s">
        <v>12</v>
      </c>
      <c r="N44" s="262"/>
      <c r="O44" s="248" t="s">
        <v>12</v>
      </c>
      <c r="P44" s="262"/>
      <c r="Q44" s="262"/>
      <c r="R44" s="262" t="s">
        <v>24</v>
      </c>
    </row>
    <row r="45">
      <c r="A45" s="32"/>
      <c r="B45" s="32"/>
      <c r="C45" s="85" t="s">
        <v>171</v>
      </c>
      <c r="D45" s="10"/>
      <c r="E45" s="10"/>
      <c r="F45" s="17"/>
      <c r="G45" s="248"/>
      <c r="H45" s="262"/>
      <c r="I45" s="248" t="s">
        <v>24</v>
      </c>
      <c r="J45" s="248" t="s">
        <v>24</v>
      </c>
      <c r="K45" s="262"/>
      <c r="L45" s="248"/>
      <c r="M45" s="248" t="s">
        <v>12</v>
      </c>
      <c r="N45" s="262"/>
      <c r="O45" s="248" t="s">
        <v>12</v>
      </c>
      <c r="P45" s="262"/>
      <c r="Q45" s="262"/>
      <c r="R45" s="262" t="s">
        <v>24</v>
      </c>
    </row>
    <row r="46">
      <c r="A46" s="32"/>
      <c r="B46" s="32"/>
      <c r="C46" s="77" t="s">
        <v>534</v>
      </c>
      <c r="D46" s="10"/>
      <c r="E46" s="10"/>
      <c r="F46" s="213" t="s">
        <v>535</v>
      </c>
      <c r="G46" s="328"/>
      <c r="H46" s="346"/>
      <c r="I46" s="342" t="s">
        <v>536</v>
      </c>
      <c r="J46" s="342" t="s">
        <v>536</v>
      </c>
      <c r="K46" s="346"/>
      <c r="L46" s="248"/>
      <c r="M46" s="248" t="s">
        <v>12</v>
      </c>
      <c r="N46" s="346"/>
      <c r="O46" s="248" t="s">
        <v>12</v>
      </c>
      <c r="P46" s="346"/>
      <c r="Q46" s="346"/>
      <c r="R46" s="284" t="s">
        <v>536</v>
      </c>
    </row>
    <row r="47">
      <c r="A47" s="32"/>
      <c r="B47" s="37"/>
      <c r="C47" s="77" t="s">
        <v>177</v>
      </c>
      <c r="D47" s="10"/>
      <c r="E47" s="10"/>
      <c r="F47" s="17"/>
      <c r="G47" s="248"/>
      <c r="H47" s="262"/>
      <c r="I47" s="248" t="s">
        <v>24</v>
      </c>
      <c r="J47" s="248" t="s">
        <v>24</v>
      </c>
      <c r="K47" s="262"/>
      <c r="L47" s="248"/>
      <c r="M47" s="248" t="s">
        <v>12</v>
      </c>
      <c r="N47" s="262"/>
      <c r="O47" s="248" t="s">
        <v>12</v>
      </c>
      <c r="P47" s="262"/>
      <c r="Q47" s="262"/>
      <c r="R47" s="262" t="s">
        <v>24</v>
      </c>
    </row>
    <row r="48">
      <c r="A48" s="32"/>
      <c r="B48" s="102" t="s">
        <v>178</v>
      </c>
      <c r="C48" s="93" t="s">
        <v>179</v>
      </c>
      <c r="D48" s="10"/>
      <c r="E48" s="10"/>
      <c r="F48" s="17"/>
      <c r="G48" s="248"/>
      <c r="H48" s="262"/>
      <c r="I48" s="248" t="s">
        <v>24</v>
      </c>
      <c r="J48" s="248" t="s">
        <v>24</v>
      </c>
      <c r="K48" s="262"/>
      <c r="L48" s="248"/>
      <c r="M48" s="248" t="s">
        <v>12</v>
      </c>
      <c r="N48" s="262"/>
      <c r="O48" s="248" t="s">
        <v>12</v>
      </c>
      <c r="P48" s="274"/>
      <c r="Q48" s="262"/>
      <c r="R48" s="274" t="s">
        <v>24</v>
      </c>
    </row>
    <row r="49">
      <c r="A49" s="32"/>
      <c r="B49" s="32"/>
      <c r="C49" s="93" t="s">
        <v>141</v>
      </c>
      <c r="D49" s="10"/>
      <c r="E49" s="10"/>
      <c r="F49" s="17"/>
      <c r="G49" s="248"/>
      <c r="H49" s="262"/>
      <c r="I49" s="248" t="s">
        <v>24</v>
      </c>
      <c r="J49" s="248" t="s">
        <v>24</v>
      </c>
      <c r="K49" s="262"/>
      <c r="L49" s="248"/>
      <c r="M49" s="248" t="s">
        <v>12</v>
      </c>
      <c r="N49" s="262"/>
      <c r="O49" s="248" t="s">
        <v>12</v>
      </c>
      <c r="P49" s="262"/>
      <c r="Q49" s="262"/>
      <c r="R49" s="262" t="s">
        <v>24</v>
      </c>
    </row>
    <row r="50">
      <c r="A50" s="32"/>
      <c r="B50" s="32"/>
      <c r="C50" s="106" t="s">
        <v>181</v>
      </c>
      <c r="D50" s="10"/>
      <c r="E50" s="10"/>
      <c r="F50" s="213" t="s">
        <v>182</v>
      </c>
      <c r="G50" s="248"/>
      <c r="H50" s="262"/>
      <c r="I50" s="248" t="s">
        <v>24</v>
      </c>
      <c r="J50" s="248" t="s">
        <v>24</v>
      </c>
      <c r="K50" s="262"/>
      <c r="L50" s="248"/>
      <c r="M50" s="248" t="s">
        <v>12</v>
      </c>
      <c r="N50" s="262"/>
      <c r="O50" s="248" t="s">
        <v>12</v>
      </c>
      <c r="P50" s="262"/>
      <c r="Q50" s="262"/>
      <c r="R50" s="262"/>
    </row>
    <row r="51">
      <c r="A51" s="32"/>
      <c r="B51" s="32"/>
      <c r="C51" s="93" t="s">
        <v>183</v>
      </c>
      <c r="D51" s="10"/>
      <c r="E51" s="10"/>
      <c r="F51" s="17"/>
      <c r="G51" s="248"/>
      <c r="H51" s="262"/>
      <c r="I51" s="248" t="s">
        <v>24</v>
      </c>
      <c r="J51" s="248" t="s">
        <v>24</v>
      </c>
      <c r="K51" s="262"/>
      <c r="L51" s="248"/>
      <c r="M51" s="248" t="s">
        <v>12</v>
      </c>
      <c r="N51" s="262"/>
      <c r="O51" s="248" t="s">
        <v>12</v>
      </c>
      <c r="P51" s="262"/>
      <c r="Q51" s="262"/>
      <c r="R51" s="262"/>
    </row>
    <row r="52">
      <c r="A52" s="32"/>
      <c r="B52" s="32"/>
      <c r="C52" s="93" t="s">
        <v>184</v>
      </c>
      <c r="D52" s="10"/>
      <c r="E52" s="10"/>
      <c r="F52" s="17"/>
      <c r="G52" s="248"/>
      <c r="H52" s="262"/>
      <c r="I52" s="248" t="s">
        <v>24</v>
      </c>
      <c r="J52" s="248" t="s">
        <v>24</v>
      </c>
      <c r="K52" s="262"/>
      <c r="L52" s="248"/>
      <c r="M52" s="248" t="s">
        <v>12</v>
      </c>
      <c r="N52" s="262"/>
      <c r="O52" s="248" t="s">
        <v>12</v>
      </c>
      <c r="P52" s="262"/>
      <c r="Q52" s="262"/>
      <c r="R52" s="262"/>
    </row>
    <row r="53">
      <c r="A53" s="32"/>
      <c r="B53" s="32"/>
      <c r="C53" s="93" t="s">
        <v>512</v>
      </c>
      <c r="D53" s="10"/>
      <c r="E53" s="10"/>
      <c r="F53" s="213" t="s">
        <v>186</v>
      </c>
      <c r="G53" s="328"/>
      <c r="H53" s="262"/>
      <c r="I53" s="248" t="s">
        <v>24</v>
      </c>
      <c r="J53" s="345" t="s">
        <v>586</v>
      </c>
      <c r="K53" s="262"/>
      <c r="L53" s="248"/>
      <c r="M53" s="248" t="s">
        <v>12</v>
      </c>
      <c r="N53" s="262"/>
      <c r="O53" s="248" t="s">
        <v>12</v>
      </c>
      <c r="P53" s="262"/>
      <c r="Q53" s="262"/>
      <c r="R53" s="262" t="s">
        <v>24</v>
      </c>
    </row>
    <row r="54">
      <c r="A54" s="32"/>
      <c r="B54" s="32"/>
      <c r="C54" s="87" t="s">
        <v>187</v>
      </c>
      <c r="D54" s="10"/>
      <c r="E54" s="10"/>
      <c r="F54" s="17"/>
      <c r="G54" s="328"/>
      <c r="H54" s="262"/>
      <c r="I54" s="248" t="s">
        <v>24</v>
      </c>
      <c r="J54" s="345" t="s">
        <v>586</v>
      </c>
      <c r="K54" s="262"/>
      <c r="L54" s="248"/>
      <c r="M54" s="248" t="s">
        <v>12</v>
      </c>
      <c r="N54" s="262"/>
      <c r="O54" s="248" t="s">
        <v>12</v>
      </c>
      <c r="P54" s="262"/>
      <c r="Q54" s="262"/>
      <c r="R54" s="262"/>
    </row>
    <row r="55">
      <c r="A55" s="32"/>
      <c r="B55" s="32"/>
      <c r="C55" s="77" t="s">
        <v>190</v>
      </c>
      <c r="D55" s="10"/>
      <c r="E55" s="10"/>
      <c r="F55" s="17"/>
      <c r="G55" s="248"/>
      <c r="H55" s="262"/>
      <c r="I55" s="342" t="s">
        <v>593</v>
      </c>
      <c r="J55" s="248" t="s">
        <v>24</v>
      </c>
      <c r="K55" s="262"/>
      <c r="L55" s="248"/>
      <c r="M55" s="248" t="s">
        <v>12</v>
      </c>
      <c r="N55" s="262"/>
      <c r="O55" s="248" t="s">
        <v>12</v>
      </c>
      <c r="P55" s="262"/>
      <c r="Q55" s="262"/>
      <c r="R55" s="355" t="s">
        <v>594</v>
      </c>
    </row>
    <row r="56">
      <c r="A56" s="32"/>
      <c r="B56" s="32"/>
      <c r="C56" s="106" t="s">
        <v>561</v>
      </c>
      <c r="D56" s="10"/>
      <c r="E56" s="10"/>
      <c r="F56" s="213" t="s">
        <v>192</v>
      </c>
      <c r="G56" s="248"/>
      <c r="H56" s="262"/>
      <c r="I56" s="248" t="s">
        <v>24</v>
      </c>
      <c r="J56" s="248" t="s">
        <v>517</v>
      </c>
      <c r="K56" s="262"/>
      <c r="L56" s="248"/>
      <c r="M56" s="248"/>
      <c r="N56" s="262"/>
      <c r="O56" s="248"/>
      <c r="P56" s="262"/>
      <c r="Q56" s="262"/>
      <c r="R56" s="262"/>
    </row>
    <row r="57">
      <c r="A57" s="32"/>
      <c r="B57" s="32"/>
      <c r="C57" s="93" t="s">
        <v>562</v>
      </c>
      <c r="D57" s="10"/>
      <c r="E57" s="10"/>
      <c r="F57" s="17"/>
      <c r="G57" s="248"/>
      <c r="H57" s="262"/>
      <c r="I57" s="248" t="s">
        <v>24</v>
      </c>
      <c r="J57" s="248" t="s">
        <v>24</v>
      </c>
      <c r="K57" s="262"/>
      <c r="L57" s="248"/>
      <c r="M57" s="248" t="s">
        <v>12</v>
      </c>
      <c r="N57" s="262"/>
      <c r="O57" s="248" t="s">
        <v>12</v>
      </c>
      <c r="P57" s="262"/>
      <c r="Q57" s="262"/>
      <c r="R57" s="262"/>
    </row>
    <row r="58">
      <c r="A58" s="32"/>
      <c r="B58" s="32"/>
      <c r="C58" s="93" t="s">
        <v>194</v>
      </c>
      <c r="D58" s="10"/>
      <c r="E58" s="10"/>
      <c r="F58" s="17"/>
      <c r="G58" s="328"/>
      <c r="H58" s="262"/>
      <c r="I58" s="248" t="s">
        <v>24</v>
      </c>
      <c r="J58" s="345" t="s">
        <v>586</v>
      </c>
      <c r="K58" s="262"/>
      <c r="L58" s="248"/>
      <c r="M58" s="248" t="s">
        <v>12</v>
      </c>
      <c r="N58" s="262"/>
      <c r="O58" s="248" t="s">
        <v>12</v>
      </c>
      <c r="P58" s="262"/>
      <c r="Q58" s="262"/>
      <c r="R58" s="262"/>
    </row>
    <row r="59">
      <c r="A59" s="32"/>
      <c r="B59" s="32"/>
      <c r="C59" s="103" t="s">
        <v>195</v>
      </c>
      <c r="D59" s="10"/>
      <c r="E59" s="10"/>
      <c r="F59" s="213" t="s">
        <v>196</v>
      </c>
      <c r="G59" s="248"/>
      <c r="H59" s="262"/>
      <c r="I59" s="248" t="s">
        <v>24</v>
      </c>
      <c r="J59" s="248" t="s">
        <v>24</v>
      </c>
      <c r="K59" s="262"/>
      <c r="L59" s="248"/>
      <c r="M59" s="248" t="s">
        <v>12</v>
      </c>
      <c r="N59" s="262"/>
      <c r="O59" s="248" t="s">
        <v>12</v>
      </c>
      <c r="P59" s="262"/>
      <c r="Q59" s="262"/>
      <c r="R59" s="262" t="s">
        <v>24</v>
      </c>
    </row>
    <row r="60">
      <c r="A60" s="32"/>
      <c r="B60" s="32"/>
      <c r="C60" s="93" t="s">
        <v>197</v>
      </c>
      <c r="D60" s="10"/>
      <c r="E60" s="10"/>
      <c r="F60" s="213" t="s">
        <v>196</v>
      </c>
      <c r="G60" s="248"/>
      <c r="H60" s="262"/>
      <c r="I60" s="248" t="s">
        <v>24</v>
      </c>
      <c r="J60" s="248" t="s">
        <v>24</v>
      </c>
      <c r="K60" s="262"/>
      <c r="L60" s="248"/>
      <c r="M60" s="248" t="s">
        <v>12</v>
      </c>
      <c r="N60" s="262"/>
      <c r="O60" s="248" t="s">
        <v>12</v>
      </c>
      <c r="P60" s="274"/>
      <c r="Q60" s="262"/>
      <c r="R60" s="262"/>
    </row>
    <row r="61">
      <c r="A61" s="32"/>
      <c r="B61" s="32"/>
      <c r="C61" s="93" t="s">
        <v>198</v>
      </c>
      <c r="D61" s="10"/>
      <c r="E61" s="10"/>
      <c r="F61" s="213" t="s">
        <v>196</v>
      </c>
      <c r="G61" s="248"/>
      <c r="H61" s="262"/>
      <c r="I61" s="248" t="s">
        <v>24</v>
      </c>
      <c r="J61" s="248"/>
      <c r="K61" s="262"/>
      <c r="L61" s="248"/>
      <c r="M61" s="248" t="s">
        <v>12</v>
      </c>
      <c r="N61" s="262"/>
      <c r="O61" s="248" t="s">
        <v>12</v>
      </c>
      <c r="P61" s="262"/>
      <c r="Q61" s="262"/>
      <c r="R61" s="262"/>
    </row>
    <row r="62">
      <c r="A62" s="32"/>
      <c r="B62" s="32"/>
      <c r="C62" s="106" t="s">
        <v>201</v>
      </c>
      <c r="D62" s="10"/>
      <c r="E62" s="10"/>
      <c r="F62" s="213" t="s">
        <v>202</v>
      </c>
      <c r="G62" s="248"/>
      <c r="H62" s="262"/>
      <c r="I62" s="248" t="s">
        <v>24</v>
      </c>
      <c r="J62" s="248" t="s">
        <v>24</v>
      </c>
      <c r="K62" s="262"/>
      <c r="L62" s="248"/>
      <c r="M62" s="248" t="s">
        <v>12</v>
      </c>
      <c r="N62" s="262"/>
      <c r="O62" s="248" t="s">
        <v>12</v>
      </c>
      <c r="P62" s="262"/>
      <c r="Q62" s="262"/>
      <c r="R62" s="262"/>
    </row>
    <row r="63">
      <c r="A63" s="32"/>
      <c r="B63" s="32"/>
      <c r="C63" s="349" t="s">
        <v>563</v>
      </c>
      <c r="D63" s="10"/>
      <c r="E63" s="10"/>
      <c r="F63" s="17"/>
      <c r="G63" s="248"/>
      <c r="H63" s="262"/>
      <c r="I63" s="248" t="s">
        <v>24</v>
      </c>
      <c r="J63" s="248" t="s">
        <v>24</v>
      </c>
      <c r="K63" s="262"/>
      <c r="L63" s="248"/>
      <c r="M63" s="248" t="s">
        <v>12</v>
      </c>
      <c r="N63" s="262"/>
      <c r="O63" s="248" t="s">
        <v>12</v>
      </c>
      <c r="P63" s="274"/>
      <c r="Q63" s="262"/>
      <c r="R63" s="355" t="s">
        <v>594</v>
      </c>
    </row>
    <row r="64">
      <c r="A64" s="32"/>
      <c r="B64" s="32"/>
      <c r="C64" s="83" t="s">
        <v>564</v>
      </c>
      <c r="D64" s="10"/>
      <c r="E64" s="10"/>
      <c r="F64" s="213" t="s">
        <v>124</v>
      </c>
      <c r="G64" s="248"/>
      <c r="H64" s="262"/>
      <c r="I64" s="248" t="s">
        <v>517</v>
      </c>
      <c r="J64" s="248" t="s">
        <v>517</v>
      </c>
      <c r="K64" s="262"/>
      <c r="L64" s="248"/>
      <c r="M64" s="248" t="s">
        <v>12</v>
      </c>
      <c r="N64" s="262"/>
      <c r="O64" s="248" t="s">
        <v>12</v>
      </c>
      <c r="P64" s="262"/>
      <c r="Q64" s="262"/>
      <c r="R64" s="262" t="s">
        <v>517</v>
      </c>
    </row>
    <row r="65">
      <c r="A65" s="32"/>
      <c r="B65" s="32"/>
      <c r="C65" s="120" t="s">
        <v>316</v>
      </c>
      <c r="D65" s="10"/>
      <c r="E65" s="10"/>
      <c r="F65" s="213" t="s">
        <v>124</v>
      </c>
      <c r="G65" s="328"/>
      <c r="H65" s="262"/>
      <c r="I65" s="248" t="s">
        <v>24</v>
      </c>
      <c r="J65" s="345" t="s">
        <v>582</v>
      </c>
      <c r="K65" s="262"/>
      <c r="L65" s="248"/>
      <c r="M65" s="248" t="s">
        <v>12</v>
      </c>
      <c r="N65" s="262"/>
      <c r="O65" s="248" t="s">
        <v>12</v>
      </c>
      <c r="P65" s="274"/>
      <c r="Q65" s="262"/>
      <c r="R65" s="262" t="s">
        <v>24</v>
      </c>
    </row>
    <row r="66">
      <c r="A66" s="32"/>
      <c r="B66" s="32"/>
      <c r="C66" s="121" t="s">
        <v>205</v>
      </c>
      <c r="D66" s="10"/>
      <c r="E66" s="10"/>
      <c r="F66" s="213" t="s">
        <v>207</v>
      </c>
      <c r="G66" s="328"/>
      <c r="H66" s="262"/>
      <c r="I66" s="248" t="s">
        <v>24</v>
      </c>
      <c r="J66" s="345" t="s">
        <v>586</v>
      </c>
      <c r="K66" s="262"/>
      <c r="L66" s="248"/>
      <c r="M66" s="248" t="s">
        <v>12</v>
      </c>
      <c r="N66" s="262"/>
      <c r="O66" s="248" t="s">
        <v>12</v>
      </c>
      <c r="P66" s="262"/>
      <c r="Q66" s="262"/>
      <c r="R66" s="262" t="s">
        <v>24</v>
      </c>
    </row>
    <row r="67">
      <c r="A67" s="32"/>
      <c r="B67" s="37"/>
      <c r="C67" s="93" t="s">
        <v>492</v>
      </c>
      <c r="D67" s="10"/>
      <c r="E67" s="10"/>
      <c r="F67" s="213" t="s">
        <v>493</v>
      </c>
      <c r="G67" s="274"/>
      <c r="H67" s="262"/>
      <c r="I67" s="274" t="s">
        <v>595</v>
      </c>
      <c r="J67" s="274" t="s">
        <v>595</v>
      </c>
      <c r="K67" s="262"/>
      <c r="L67" s="248"/>
      <c r="M67" s="248" t="s">
        <v>12</v>
      </c>
      <c r="N67" s="262"/>
      <c r="O67" s="248" t="s">
        <v>12</v>
      </c>
      <c r="P67" s="274"/>
      <c r="Q67" s="262"/>
      <c r="R67" s="274" t="s">
        <v>595</v>
      </c>
    </row>
    <row r="68">
      <c r="A68" s="32"/>
      <c r="B68" s="102" t="s">
        <v>208</v>
      </c>
      <c r="C68" s="106" t="s">
        <v>209</v>
      </c>
      <c r="D68" s="10"/>
      <c r="E68" s="10"/>
      <c r="F68" s="17"/>
      <c r="G68" s="248"/>
      <c r="H68" s="262"/>
      <c r="I68" s="342" t="s">
        <v>520</v>
      </c>
      <c r="J68" s="248" t="s">
        <v>24</v>
      </c>
      <c r="K68" s="262"/>
      <c r="L68" s="248"/>
      <c r="M68" s="248" t="s">
        <v>12</v>
      </c>
      <c r="N68" s="262"/>
      <c r="O68" s="248" t="s">
        <v>12</v>
      </c>
      <c r="P68" s="262"/>
      <c r="Q68" s="262"/>
      <c r="R68" s="262" t="s">
        <v>24</v>
      </c>
    </row>
    <row r="69">
      <c r="A69" s="32"/>
      <c r="B69" s="32"/>
      <c r="C69" s="123" t="s">
        <v>210</v>
      </c>
      <c r="D69" s="10"/>
      <c r="E69" s="10"/>
      <c r="F69" s="213" t="s">
        <v>211</v>
      </c>
      <c r="G69" s="248"/>
      <c r="H69" s="262"/>
      <c r="I69" s="248" t="s">
        <v>24</v>
      </c>
      <c r="J69" s="248" t="s">
        <v>24</v>
      </c>
      <c r="K69" s="262"/>
      <c r="L69" s="248"/>
      <c r="M69" s="248" t="s">
        <v>12</v>
      </c>
      <c r="N69" s="262"/>
      <c r="O69" s="248" t="s">
        <v>12</v>
      </c>
      <c r="P69" s="262"/>
      <c r="Q69" s="262"/>
      <c r="R69" s="262" t="s">
        <v>24</v>
      </c>
    </row>
    <row r="70">
      <c r="A70" s="32"/>
      <c r="B70" s="32"/>
      <c r="C70" s="124" t="s">
        <v>212</v>
      </c>
      <c r="D70" s="10"/>
      <c r="E70" s="10"/>
      <c r="F70" s="17"/>
      <c r="G70" s="248"/>
      <c r="H70" s="262"/>
      <c r="I70" s="248" t="s">
        <v>24</v>
      </c>
      <c r="J70" s="248" t="s">
        <v>24</v>
      </c>
      <c r="K70" s="262"/>
      <c r="L70" s="248"/>
      <c r="M70" s="248" t="s">
        <v>12</v>
      </c>
      <c r="N70" s="262"/>
      <c r="O70" s="248" t="s">
        <v>12</v>
      </c>
      <c r="P70" s="262"/>
      <c r="Q70" s="262"/>
      <c r="R70" s="262" t="s">
        <v>24</v>
      </c>
    </row>
    <row r="71">
      <c r="A71" s="32"/>
      <c r="B71" s="32"/>
      <c r="C71" s="125" t="s">
        <v>213</v>
      </c>
      <c r="D71" s="10"/>
      <c r="E71" s="10"/>
      <c r="F71" s="17"/>
      <c r="G71" s="248"/>
      <c r="H71" s="262"/>
      <c r="I71" s="248" t="s">
        <v>24</v>
      </c>
      <c r="J71" s="248" t="s">
        <v>24</v>
      </c>
      <c r="K71" s="262"/>
      <c r="L71" s="248"/>
      <c r="M71" s="248" t="s">
        <v>12</v>
      </c>
      <c r="N71" s="262"/>
      <c r="O71" s="248" t="s">
        <v>12</v>
      </c>
      <c r="P71" s="262"/>
      <c r="Q71" s="262"/>
      <c r="R71" s="262" t="s">
        <v>24</v>
      </c>
    </row>
    <row r="72">
      <c r="A72" s="32"/>
      <c r="B72" s="32"/>
      <c r="C72" s="124" t="s">
        <v>214</v>
      </c>
      <c r="D72" s="10"/>
      <c r="E72" s="10"/>
      <c r="F72" s="17"/>
      <c r="G72" s="248"/>
      <c r="H72" s="262"/>
      <c r="I72" s="248" t="s">
        <v>24</v>
      </c>
      <c r="J72" s="248" t="s">
        <v>24</v>
      </c>
      <c r="K72" s="262"/>
      <c r="L72" s="248"/>
      <c r="M72" s="248" t="s">
        <v>12</v>
      </c>
      <c r="N72" s="262"/>
      <c r="O72" s="248" t="s">
        <v>12</v>
      </c>
      <c r="P72" s="262"/>
      <c r="Q72" s="262"/>
      <c r="R72" s="262" t="s">
        <v>24</v>
      </c>
    </row>
    <row r="73">
      <c r="A73" s="32"/>
      <c r="B73" s="37"/>
      <c r="C73" s="124" t="s">
        <v>567</v>
      </c>
      <c r="D73" s="10"/>
      <c r="E73" s="10"/>
      <c r="F73" s="17"/>
      <c r="G73" s="248"/>
      <c r="H73" s="262"/>
      <c r="I73" s="248" t="s">
        <v>24</v>
      </c>
      <c r="J73" s="248" t="s">
        <v>24</v>
      </c>
      <c r="K73" s="262"/>
      <c r="L73" s="248"/>
      <c r="M73" s="248" t="s">
        <v>12</v>
      </c>
      <c r="N73" s="262"/>
      <c r="O73" s="248" t="s">
        <v>12</v>
      </c>
      <c r="P73" s="262"/>
      <c r="Q73" s="262"/>
      <c r="R73" s="262" t="s">
        <v>24</v>
      </c>
    </row>
    <row r="74">
      <c r="A74" s="32"/>
      <c r="B74" s="115" t="s">
        <v>217</v>
      </c>
      <c r="C74" s="124" t="s">
        <v>218</v>
      </c>
      <c r="D74" s="10"/>
      <c r="E74" s="10"/>
      <c r="F74" s="17"/>
      <c r="G74" s="248"/>
      <c r="H74" s="262"/>
      <c r="I74" s="248" t="s">
        <v>24</v>
      </c>
      <c r="J74" s="248" t="s">
        <v>24</v>
      </c>
      <c r="K74" s="262"/>
      <c r="L74" s="248"/>
      <c r="M74" s="248" t="s">
        <v>12</v>
      </c>
      <c r="N74" s="262"/>
      <c r="O74" s="248" t="s">
        <v>12</v>
      </c>
      <c r="P74" s="262"/>
      <c r="Q74" s="262"/>
      <c r="R74" s="262" t="s">
        <v>24</v>
      </c>
    </row>
    <row r="75">
      <c r="A75" s="32"/>
      <c r="B75" s="32"/>
      <c r="C75" s="124" t="s">
        <v>220</v>
      </c>
      <c r="D75" s="10"/>
      <c r="E75" s="10"/>
      <c r="F75" s="17"/>
      <c r="G75" s="248"/>
      <c r="H75" s="262"/>
      <c r="I75" s="248" t="s">
        <v>24</v>
      </c>
      <c r="J75" s="248" t="s">
        <v>24</v>
      </c>
      <c r="K75" s="262"/>
      <c r="L75" s="248"/>
      <c r="M75" s="248" t="s">
        <v>12</v>
      </c>
      <c r="N75" s="262"/>
      <c r="O75" s="248" t="s">
        <v>12</v>
      </c>
      <c r="P75" s="262"/>
      <c r="Q75" s="262"/>
      <c r="R75" s="262" t="s">
        <v>24</v>
      </c>
    </row>
    <row r="76">
      <c r="A76" s="32"/>
      <c r="B76" s="32"/>
      <c r="C76" s="129" t="s">
        <v>474</v>
      </c>
      <c r="D76" s="10"/>
      <c r="E76" s="10"/>
      <c r="F76" s="213" t="s">
        <v>222</v>
      </c>
      <c r="G76" s="248"/>
      <c r="H76" s="262"/>
      <c r="I76" s="248" t="s">
        <v>24</v>
      </c>
      <c r="J76" s="248" t="s">
        <v>24</v>
      </c>
      <c r="K76" s="262"/>
      <c r="L76" s="248"/>
      <c r="M76" s="248" t="s">
        <v>12</v>
      </c>
      <c r="N76" s="262"/>
      <c r="O76" s="248" t="s">
        <v>12</v>
      </c>
      <c r="P76" s="262"/>
      <c r="Q76" s="262"/>
      <c r="R76" s="262" t="s">
        <v>24</v>
      </c>
    </row>
    <row r="77">
      <c r="A77" s="32"/>
      <c r="B77" s="37"/>
      <c r="C77" s="124" t="s">
        <v>223</v>
      </c>
      <c r="D77" s="10"/>
      <c r="E77" s="10"/>
      <c r="F77" s="213" t="s">
        <v>224</v>
      </c>
      <c r="G77" s="248"/>
      <c r="H77" s="262"/>
      <c r="I77" s="248" t="s">
        <v>24</v>
      </c>
      <c r="J77" s="248" t="s">
        <v>24</v>
      </c>
      <c r="K77" s="262"/>
      <c r="L77" s="248"/>
      <c r="M77" s="248" t="s">
        <v>12</v>
      </c>
      <c r="N77" s="262"/>
      <c r="O77" s="248" t="s">
        <v>12</v>
      </c>
      <c r="P77" s="262"/>
      <c r="Q77" s="262"/>
      <c r="R77" s="262" t="s">
        <v>24</v>
      </c>
    </row>
    <row r="78">
      <c r="A78" s="32"/>
      <c r="B78" s="102" t="s">
        <v>244</v>
      </c>
      <c r="C78" s="106" t="s">
        <v>245</v>
      </c>
      <c r="D78" s="10"/>
      <c r="E78" s="245" t="s">
        <v>248</v>
      </c>
      <c r="F78" s="237" t="s">
        <v>411</v>
      </c>
      <c r="G78" s="248"/>
      <c r="H78" s="274"/>
      <c r="I78" s="248" t="s">
        <v>24</v>
      </c>
      <c r="J78" s="248" t="s">
        <v>24</v>
      </c>
      <c r="K78" s="274"/>
      <c r="L78" s="248"/>
      <c r="M78" s="248" t="s">
        <v>12</v>
      </c>
      <c r="N78" s="274"/>
      <c r="O78" s="248" t="s">
        <v>12</v>
      </c>
      <c r="P78" s="262"/>
      <c r="Q78" s="274"/>
      <c r="R78" s="274" t="s">
        <v>24</v>
      </c>
    </row>
    <row r="79">
      <c r="A79" s="32"/>
      <c r="B79" s="32"/>
      <c r="C79" s="123" t="s">
        <v>247</v>
      </c>
      <c r="D79" s="10"/>
      <c r="E79" s="245" t="s">
        <v>248</v>
      </c>
      <c r="F79" s="213" t="s">
        <v>207</v>
      </c>
      <c r="G79" s="248"/>
      <c r="H79" s="343"/>
      <c r="I79" s="248" t="s">
        <v>24</v>
      </c>
      <c r="J79" s="248" t="s">
        <v>24</v>
      </c>
      <c r="K79" s="343"/>
      <c r="L79" s="248"/>
      <c r="M79" s="248" t="s">
        <v>12</v>
      </c>
      <c r="N79" s="343"/>
      <c r="O79" s="248" t="s">
        <v>12</v>
      </c>
      <c r="P79" s="262"/>
      <c r="Q79" s="343"/>
      <c r="R79" s="284" t="s">
        <v>596</v>
      </c>
    </row>
    <row r="80">
      <c r="A80" s="32"/>
      <c r="B80" s="32"/>
      <c r="C80" s="123" t="s">
        <v>249</v>
      </c>
      <c r="D80" s="10"/>
      <c r="E80" s="10"/>
      <c r="F80" s="213" t="s">
        <v>250</v>
      </c>
      <c r="G80" s="248"/>
      <c r="H80" s="262"/>
      <c r="I80" s="248" t="s">
        <v>24</v>
      </c>
      <c r="J80" s="248" t="s">
        <v>24</v>
      </c>
      <c r="K80" s="262"/>
      <c r="L80" s="248"/>
      <c r="M80" s="248" t="s">
        <v>12</v>
      </c>
      <c r="N80" s="262"/>
      <c r="O80" s="248" t="s">
        <v>12</v>
      </c>
      <c r="P80" s="274"/>
      <c r="Q80" s="262"/>
      <c r="R80" s="262" t="s">
        <v>24</v>
      </c>
    </row>
    <row r="81">
      <c r="A81" s="32"/>
      <c r="B81" s="32"/>
      <c r="C81" s="103" t="s">
        <v>251</v>
      </c>
      <c r="D81" s="10"/>
      <c r="E81" s="10"/>
      <c r="F81" s="213" t="s">
        <v>252</v>
      </c>
      <c r="G81" s="248"/>
      <c r="H81" s="262"/>
      <c r="I81" s="248" t="s">
        <v>24</v>
      </c>
      <c r="J81" s="248" t="s">
        <v>24</v>
      </c>
      <c r="K81" s="262"/>
      <c r="L81" s="248"/>
      <c r="M81" s="248" t="s">
        <v>12</v>
      </c>
      <c r="N81" s="262"/>
      <c r="O81" s="248" t="s">
        <v>12</v>
      </c>
      <c r="P81" s="262"/>
      <c r="Q81" s="262"/>
      <c r="R81" s="284" t="s">
        <v>597</v>
      </c>
    </row>
    <row r="82">
      <c r="A82" s="32"/>
      <c r="B82" s="32"/>
      <c r="C82" s="93" t="s">
        <v>568</v>
      </c>
      <c r="D82" s="10"/>
      <c r="E82" s="10"/>
      <c r="F82" s="213" t="s">
        <v>254</v>
      </c>
      <c r="G82" s="248"/>
      <c r="H82" s="343"/>
      <c r="I82" s="248" t="s">
        <v>24</v>
      </c>
      <c r="J82" s="248" t="s">
        <v>24</v>
      </c>
      <c r="K82" s="343"/>
      <c r="L82" s="248"/>
      <c r="M82" s="248" t="s">
        <v>12</v>
      </c>
      <c r="N82" s="343"/>
      <c r="O82" s="248" t="s">
        <v>12</v>
      </c>
      <c r="P82" s="274"/>
      <c r="Q82" s="343"/>
      <c r="R82" s="284" t="s">
        <v>598</v>
      </c>
    </row>
    <row r="83">
      <c r="A83" s="32"/>
      <c r="B83" s="32"/>
      <c r="C83" s="106" t="s">
        <v>255</v>
      </c>
      <c r="D83" s="10"/>
      <c r="E83" s="10"/>
      <c r="F83" s="213" t="s">
        <v>256</v>
      </c>
      <c r="G83" s="248"/>
      <c r="H83" s="262"/>
      <c r="I83" s="248" t="s">
        <v>24</v>
      </c>
      <c r="J83" s="248" t="s">
        <v>24</v>
      </c>
      <c r="K83" s="262"/>
      <c r="L83" s="248"/>
      <c r="M83" s="248" t="s">
        <v>12</v>
      </c>
      <c r="N83" s="262"/>
      <c r="O83" s="248" t="s">
        <v>12</v>
      </c>
      <c r="P83" s="274"/>
      <c r="Q83" s="262"/>
      <c r="R83" s="262" t="s">
        <v>24</v>
      </c>
    </row>
    <row r="84">
      <c r="A84" s="32"/>
      <c r="B84" s="32"/>
      <c r="C84" s="93" t="s">
        <v>257</v>
      </c>
      <c r="D84" s="10"/>
      <c r="E84" s="10"/>
      <c r="F84" s="17"/>
      <c r="G84" s="248"/>
      <c r="H84" s="262"/>
      <c r="I84" s="248" t="s">
        <v>24</v>
      </c>
      <c r="J84" s="248" t="s">
        <v>24</v>
      </c>
      <c r="K84" s="262"/>
      <c r="L84" s="248"/>
      <c r="M84" s="248" t="s">
        <v>12</v>
      </c>
      <c r="N84" s="262"/>
      <c r="O84" s="248" t="s">
        <v>12</v>
      </c>
      <c r="P84" s="262"/>
      <c r="Q84" s="262"/>
      <c r="R84" s="262" t="s">
        <v>24</v>
      </c>
    </row>
    <row r="85">
      <c r="A85" s="32"/>
      <c r="B85" s="32"/>
      <c r="C85" s="93" t="s">
        <v>258</v>
      </c>
      <c r="D85" s="10"/>
      <c r="E85" s="10"/>
      <c r="F85" s="213" t="s">
        <v>259</v>
      </c>
      <c r="G85" s="248"/>
      <c r="H85" s="262"/>
      <c r="I85" s="356" t="s">
        <v>569</v>
      </c>
      <c r="J85" s="248" t="s">
        <v>24</v>
      </c>
      <c r="K85" s="262"/>
      <c r="L85" s="248"/>
      <c r="M85" s="248" t="s">
        <v>12</v>
      </c>
      <c r="N85" s="262"/>
      <c r="O85" s="248" t="s">
        <v>12</v>
      </c>
      <c r="P85" s="274"/>
      <c r="Q85" s="262"/>
      <c r="R85" s="253" t="s">
        <v>24</v>
      </c>
    </row>
    <row r="86">
      <c r="A86" s="37"/>
      <c r="B86" s="37"/>
      <c r="C86" s="103" t="s">
        <v>521</v>
      </c>
      <c r="D86" s="10"/>
      <c r="E86" s="10"/>
      <c r="F86" s="17"/>
      <c r="G86" s="248"/>
      <c r="H86" s="262"/>
      <c r="I86" s="342" t="s">
        <v>570</v>
      </c>
      <c r="J86" s="248" t="s">
        <v>24</v>
      </c>
      <c r="K86" s="262"/>
      <c r="L86" s="248"/>
      <c r="M86" s="248" t="s">
        <v>12</v>
      </c>
      <c r="N86" s="262"/>
      <c r="O86" s="248" t="s">
        <v>12</v>
      </c>
      <c r="P86" s="262"/>
      <c r="Q86" s="262"/>
      <c r="R86" s="284" t="s">
        <v>599</v>
      </c>
    </row>
    <row r="87">
      <c r="A87" s="154"/>
      <c r="B87" s="154"/>
      <c r="C87" s="142" t="s">
        <v>421</v>
      </c>
      <c r="E87" s="245" t="s">
        <v>96</v>
      </c>
      <c r="F87" s="240"/>
      <c r="G87" s="248"/>
      <c r="H87" s="262"/>
      <c r="I87" s="248" t="s">
        <v>24</v>
      </c>
      <c r="J87" s="248" t="s">
        <v>24</v>
      </c>
      <c r="K87" s="262"/>
      <c r="L87" s="248"/>
      <c r="M87" s="248" t="s">
        <v>12</v>
      </c>
      <c r="N87" s="262" t="s">
        <v>24</v>
      </c>
      <c r="O87" s="248" t="s">
        <v>12</v>
      </c>
      <c r="P87" s="357"/>
      <c r="Q87" s="343"/>
      <c r="R87" s="262"/>
    </row>
    <row r="88">
      <c r="A88" s="154"/>
      <c r="B88" s="154"/>
      <c r="C88" s="142" t="s">
        <v>265</v>
      </c>
      <c r="D88" s="10"/>
      <c r="E88" s="256" t="s">
        <v>540</v>
      </c>
      <c r="F88" s="240"/>
      <c r="G88" s="248"/>
      <c r="H88" s="262"/>
      <c r="I88" s="248" t="s">
        <v>24</v>
      </c>
      <c r="J88" s="248"/>
      <c r="K88" s="262"/>
      <c r="L88" s="248"/>
      <c r="M88" s="248" t="s">
        <v>12</v>
      </c>
      <c r="N88" s="262" t="s">
        <v>24</v>
      </c>
      <c r="O88" s="248" t="s">
        <v>12</v>
      </c>
      <c r="P88" s="357"/>
      <c r="Q88" s="343"/>
      <c r="R88" s="262"/>
    </row>
    <row r="89">
      <c r="A89" s="154"/>
      <c r="B89" s="154">
        <v>89.0</v>
      </c>
      <c r="C89" s="154" t="s">
        <v>475</v>
      </c>
      <c r="D89" s="154"/>
      <c r="E89" s="154"/>
      <c r="F89" s="142" t="s">
        <v>276</v>
      </c>
      <c r="G89" s="200">
        <v>0.0</v>
      </c>
      <c r="H89" s="200">
        <v>0.0</v>
      </c>
      <c r="I89" s="200">
        <v>100.0</v>
      </c>
      <c r="J89" s="200">
        <v>98.0</v>
      </c>
      <c r="K89" s="200">
        <v>0.0</v>
      </c>
      <c r="L89" s="200">
        <v>0.0</v>
      </c>
      <c r="M89" s="200">
        <v>99.0</v>
      </c>
      <c r="N89" s="200">
        <v>20.0</v>
      </c>
      <c r="O89" s="200">
        <v>99.0</v>
      </c>
      <c r="P89" s="200">
        <v>0.0</v>
      </c>
      <c r="Q89" s="21">
        <v>0.0</v>
      </c>
      <c r="R89" s="21">
        <v>76.0</v>
      </c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79" t="s">
        <v>600</v>
      </c>
      <c r="B94" s="152"/>
      <c r="C94" s="152"/>
      <c r="D94" s="153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54"/>
      <c r="B95" s="155" t="s">
        <v>5</v>
      </c>
      <c r="C95" s="155" t="s">
        <v>277</v>
      </c>
      <c r="D95" s="155" t="s">
        <v>7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55" t="s">
        <v>278</v>
      </c>
      <c r="B96" s="154">
        <v>0.0</v>
      </c>
      <c r="C96" s="154">
        <v>0.0</v>
      </c>
      <c r="D96" s="154">
        <v>68.0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55" t="s">
        <v>279</v>
      </c>
      <c r="B97" s="154">
        <v>0.0</v>
      </c>
      <c r="C97" s="154">
        <v>0.0</v>
      </c>
      <c r="D97" s="154">
        <v>10.0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55" t="s">
        <v>280</v>
      </c>
      <c r="B98" s="154">
        <v>0.0</v>
      </c>
      <c r="C98" s="154">
        <v>0.0</v>
      </c>
      <c r="D98" s="154">
        <v>0.0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55" t="s">
        <v>281</v>
      </c>
      <c r="B99" s="154">
        <v>0.0</v>
      </c>
      <c r="C99" s="154">
        <v>0.0</v>
      </c>
      <c r="D99" s="154">
        <v>0.0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334" t="s">
        <v>282</v>
      </c>
      <c r="B102" s="335"/>
      <c r="C102" s="335"/>
      <c r="D102" s="335"/>
      <c r="E102" s="335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57" t="s">
        <v>8</v>
      </c>
      <c r="B103" s="158"/>
      <c r="C103" s="158"/>
      <c r="D103" s="158"/>
      <c r="E103" s="157" t="s">
        <v>283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59" t="s">
        <v>284</v>
      </c>
      <c r="B104" s="158"/>
      <c r="C104" s="158"/>
      <c r="D104" s="158"/>
      <c r="E104" s="160" t="s">
        <v>24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61" t="s">
        <v>285</v>
      </c>
      <c r="B105" s="158"/>
      <c r="C105" s="158"/>
      <c r="D105" s="158"/>
      <c r="E105" s="162" t="s">
        <v>12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78" t="s">
        <v>543</v>
      </c>
      <c r="B106" s="158"/>
      <c r="C106" s="158"/>
      <c r="D106" s="158"/>
      <c r="E106" s="164" t="s">
        <v>287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63" t="s">
        <v>286</v>
      </c>
      <c r="B107" s="158"/>
      <c r="C107" s="158"/>
      <c r="D107" s="158"/>
      <c r="E107" s="166" t="s">
        <v>10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65" t="s">
        <v>288</v>
      </c>
      <c r="B108" s="158"/>
      <c r="C108" s="158"/>
      <c r="D108" s="158"/>
      <c r="E108" s="168" t="s">
        <v>290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67" t="s">
        <v>544</v>
      </c>
      <c r="B109" s="158"/>
      <c r="C109" s="158"/>
      <c r="D109" s="158"/>
      <c r="E109" s="170" t="s">
        <v>292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69" t="s">
        <v>291</v>
      </c>
      <c r="B110" s="158"/>
      <c r="C110" s="158"/>
      <c r="D110" s="158"/>
      <c r="E110" s="172" t="s">
        <v>294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75" t="s">
        <v>296</v>
      </c>
      <c r="B111" s="158"/>
      <c r="C111" s="158"/>
      <c r="D111" s="158"/>
      <c r="E111" s="174" t="s">
        <v>11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73" t="s">
        <v>295</v>
      </c>
      <c r="B112" s="158"/>
      <c r="C112" s="158"/>
      <c r="D112" s="158"/>
      <c r="E112" s="176" t="s">
        <v>545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325" t="s">
        <v>501</v>
      </c>
      <c r="B113" s="158"/>
      <c r="C113" s="158"/>
      <c r="D113" s="158"/>
      <c r="E113" s="158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77" t="s">
        <v>297</v>
      </c>
      <c r="B114" s="158"/>
      <c r="C114" s="158"/>
      <c r="D114" s="158"/>
      <c r="E114" s="158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81" t="s">
        <v>301</v>
      </c>
      <c r="B115" s="158"/>
      <c r="C115" s="158"/>
      <c r="D115" s="158"/>
      <c r="E115" s="158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337" t="s">
        <v>546</v>
      </c>
      <c r="B116" s="158"/>
      <c r="C116" s="158"/>
      <c r="D116" s="158"/>
      <c r="E116" s="158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</sheetData>
  <mergeCells count="17">
    <mergeCell ref="B14:B15"/>
    <mergeCell ref="B16:B30"/>
    <mergeCell ref="B31:B43"/>
    <mergeCell ref="B44:B47"/>
    <mergeCell ref="B48:B67"/>
    <mergeCell ref="B68:B73"/>
    <mergeCell ref="B74:B77"/>
    <mergeCell ref="B78:B86"/>
    <mergeCell ref="A94:D94"/>
    <mergeCell ref="A102:E102"/>
    <mergeCell ref="G1:I1"/>
    <mergeCell ref="J1:L1"/>
    <mergeCell ref="M1:O1"/>
    <mergeCell ref="P1:R1"/>
    <mergeCell ref="A6:A15"/>
    <mergeCell ref="B6:B13"/>
    <mergeCell ref="A16:A86"/>
  </mergeCells>
  <conditionalFormatting sqref="I19:R19">
    <cfRule type="cellIs" dxfId="18" priority="1" stopIfTrue="1" operator="equal">
      <formula>"Not Tested"</formula>
    </cfRule>
  </conditionalFormatting>
  <conditionalFormatting sqref="B3:D3 G4:R4">
    <cfRule type="cellIs" dxfId="14" priority="2" stopIfTrue="1" operator="equal">
      <formula>"Anu"</formula>
    </cfRule>
  </conditionalFormatting>
  <conditionalFormatting sqref="B3:D3 G4:R4">
    <cfRule type="cellIs" dxfId="0" priority="3" stopIfTrue="1" operator="equal">
      <formula>"Amrita"</formula>
    </cfRule>
  </conditionalFormatting>
  <conditionalFormatting sqref="B3:D3 G4:R4">
    <cfRule type="cellIs" dxfId="1" priority="4" stopIfTrue="1" operator="equal">
      <formula>"Gourav"</formula>
    </cfRule>
  </conditionalFormatting>
  <conditionalFormatting sqref="B3:D3 G4:R4">
    <cfRule type="cellIs" dxfId="2" priority="5" stopIfTrue="1" operator="equal">
      <formula>"Hannah"</formula>
    </cfRule>
  </conditionalFormatting>
  <conditionalFormatting sqref="B3:D3 G4:R4">
    <cfRule type="cellIs" dxfId="4" priority="6" stopIfTrue="1" operator="equal">
      <formula>"Nitin"</formula>
    </cfRule>
  </conditionalFormatting>
  <conditionalFormatting sqref="B3:D3 G4:R4">
    <cfRule type="cellIs" dxfId="5" priority="7" stopIfTrue="1" operator="equal">
      <formula>"Ramakrishna"</formula>
    </cfRule>
  </conditionalFormatting>
  <conditionalFormatting sqref="B3:D3 G4:R4">
    <cfRule type="cellIs" dxfId="6" priority="8" stopIfTrue="1" operator="equal">
      <formula>"Sriram"</formula>
    </cfRule>
  </conditionalFormatting>
  <conditionalFormatting sqref="B3:D3 G4:R4">
    <cfRule type="cellIs" dxfId="7" priority="9" stopIfTrue="1" operator="equal">
      <formula>"Saheli"</formula>
    </cfRule>
  </conditionalFormatting>
  <conditionalFormatting sqref="B3:D3 G4:R4">
    <cfRule type="cellIs" dxfId="8" priority="10" stopIfTrue="1" operator="equal">
      <formula>"Kavya"</formula>
    </cfRule>
  </conditionalFormatting>
  <conditionalFormatting sqref="B3:D3 G4:R4">
    <cfRule type="cellIs" dxfId="9" priority="11" stopIfTrue="1" operator="equal">
      <formula>"Vishnu"</formula>
    </cfRule>
  </conditionalFormatting>
  <conditionalFormatting sqref="G6:G88 H6:H7 I6:O88 P6:R86 H9:H88 F27 F36">
    <cfRule type="cellIs" dxfId="16" priority="12" operator="equal">
      <formula>"OK"</formula>
    </cfRule>
  </conditionalFormatting>
  <conditionalFormatting sqref="B3:D3 G4:R4 G6:G88 H6:H7 I6:O88 P6:R86 H9:H45 F27 F36 H47:H48 H50:H86">
    <cfRule type="cellIs" dxfId="18" priority="13" operator="equal">
      <formula>"Not Tested"</formula>
    </cfRule>
  </conditionalFormatting>
  <conditionalFormatting sqref="G6:G88 H6:H7 I6:O88 P6:R86 H9:H45 F27 F36 H47:H48 H50:H86">
    <cfRule type="cellIs" dxfId="19" priority="14" stopIfTrue="1" operator="equal">
      <formula>"N/A"</formula>
    </cfRule>
  </conditionalFormatting>
  <conditionalFormatting sqref="B2:D2 G3:R3">
    <cfRule type="containsText" dxfId="20" priority="15" stopIfTrue="1" operator="containsText" text="Incomplete">
      <formula>NOT(ISERROR(SEARCH(("Incomplete"),(B2))))</formula>
    </cfRule>
  </conditionalFormatting>
  <conditionalFormatting sqref="B2:D2 G3:R3">
    <cfRule type="containsText" dxfId="17" priority="16" stopIfTrue="1" operator="containsText" text="Broken">
      <formula>NOT(ISERROR(SEARCH(("Broken"),(B2))))</formula>
    </cfRule>
  </conditionalFormatting>
  <conditionalFormatting sqref="B2:D2 G3:R3">
    <cfRule type="containsText" dxfId="21" priority="17" stopIfTrue="1" operator="containsText" text="Some problems">
      <formula>NOT(ISERROR(SEARCH(("Some problems"),(B2))))</formula>
    </cfRule>
  </conditionalFormatting>
  <conditionalFormatting sqref="B2:D2 G3:R3">
    <cfRule type="containsText" dxfId="22" priority="18" stopIfTrue="1" operator="containsText" text="All OK">
      <formula>NOT(ISERROR(SEARCH(("All OK"),(B2))))</formula>
    </cfRule>
  </conditionalFormatting>
  <conditionalFormatting sqref="B2:D2 G3:R3">
    <cfRule type="containsText" dxfId="23" priority="19" stopIfTrue="1" operator="containsText" text="In Progress">
      <formula>NOT(ISERROR(SEARCH(("In Progress"),(B2))))</formula>
    </cfRule>
  </conditionalFormatting>
  <conditionalFormatting sqref="B2:D2 G3:R3">
    <cfRule type="containsText" dxfId="24" priority="20" stopIfTrue="1" operator="containsText" text="Not Tested">
      <formula>NOT(ISERROR(SEARCH(("Not Tested"),(B2))))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601</v>
      </c>
      <c r="B1" s="2" t="s">
        <v>303</v>
      </c>
      <c r="C1" s="2" t="s">
        <v>304</v>
      </c>
      <c r="D1" s="2" t="s">
        <v>305</v>
      </c>
      <c r="E1" s="3"/>
      <c r="F1" s="4" t="s">
        <v>0</v>
      </c>
      <c r="G1" s="5" t="s">
        <v>601</v>
      </c>
      <c r="H1" s="6"/>
      <c r="I1" s="7"/>
      <c r="J1" s="5" t="s">
        <v>602</v>
      </c>
      <c r="K1" s="6"/>
      <c r="L1" s="7"/>
      <c r="M1" s="5" t="s">
        <v>603</v>
      </c>
      <c r="N1" s="6"/>
      <c r="O1" s="7"/>
      <c r="P1" s="5" t="s">
        <v>604</v>
      </c>
      <c r="Q1" s="6"/>
      <c r="R1" s="7"/>
    </row>
    <row r="2">
      <c r="A2" s="8"/>
      <c r="B2" s="9" t="s">
        <v>10</v>
      </c>
      <c r="C2" s="9" t="s">
        <v>10</v>
      </c>
      <c r="D2" s="9" t="s">
        <v>605</v>
      </c>
      <c r="E2" s="10"/>
      <c r="F2" s="11" t="s">
        <v>4</v>
      </c>
      <c r="G2" s="12" t="s">
        <v>5</v>
      </c>
      <c r="H2" s="12" t="s">
        <v>6</v>
      </c>
      <c r="I2" s="12" t="s">
        <v>7</v>
      </c>
      <c r="J2" s="12" t="s">
        <v>5</v>
      </c>
      <c r="K2" s="12" t="s">
        <v>6</v>
      </c>
      <c r="L2" s="12" t="s">
        <v>7</v>
      </c>
      <c r="M2" s="12" t="s">
        <v>5</v>
      </c>
      <c r="N2" s="12" t="s">
        <v>6</v>
      </c>
      <c r="O2" s="12" t="s">
        <v>7</v>
      </c>
      <c r="P2" s="12" t="s">
        <v>5</v>
      </c>
      <c r="Q2" s="12" t="s">
        <v>6</v>
      </c>
      <c r="R2" s="12" t="s">
        <v>7</v>
      </c>
    </row>
    <row r="3">
      <c r="A3" s="13" t="s">
        <v>8</v>
      </c>
      <c r="B3" s="9" t="s">
        <v>12</v>
      </c>
      <c r="C3" s="9" t="s">
        <v>12</v>
      </c>
      <c r="D3" s="9" t="s">
        <v>297</v>
      </c>
      <c r="E3" s="10"/>
      <c r="F3" s="14" t="s">
        <v>9</v>
      </c>
      <c r="G3" s="15" t="s">
        <v>10</v>
      </c>
      <c r="H3" s="15" t="s">
        <v>10</v>
      </c>
      <c r="I3" s="15" t="s">
        <v>292</v>
      </c>
      <c r="J3" s="15" t="s">
        <v>292</v>
      </c>
      <c r="K3" s="15" t="s">
        <v>10</v>
      </c>
      <c r="L3" s="15" t="s">
        <v>10</v>
      </c>
      <c r="M3" s="15" t="s">
        <v>12</v>
      </c>
      <c r="N3" s="15" t="s">
        <v>292</v>
      </c>
      <c r="O3" s="15" t="s">
        <v>12</v>
      </c>
      <c r="P3" s="15" t="s">
        <v>10</v>
      </c>
      <c r="Q3" s="15" t="s">
        <v>10</v>
      </c>
      <c r="R3" s="15" t="s">
        <v>292</v>
      </c>
    </row>
    <row r="4">
      <c r="A4" s="16"/>
      <c r="B4" s="10"/>
      <c r="C4" s="10"/>
      <c r="D4" s="10"/>
      <c r="E4" s="10"/>
      <c r="F4" s="17"/>
      <c r="G4" s="15" t="s">
        <v>12</v>
      </c>
      <c r="H4" s="15" t="s">
        <v>12</v>
      </c>
      <c r="I4" s="15" t="s">
        <v>297</v>
      </c>
      <c r="J4" s="15" t="s">
        <v>297</v>
      </c>
      <c r="K4" s="15" t="s">
        <v>12</v>
      </c>
      <c r="L4" s="15" t="s">
        <v>12</v>
      </c>
      <c r="M4" s="15" t="s">
        <v>12</v>
      </c>
      <c r="N4" s="15" t="s">
        <v>291</v>
      </c>
      <c r="O4" s="15" t="s">
        <v>12</v>
      </c>
      <c r="P4" s="15" t="s">
        <v>12</v>
      </c>
      <c r="Q4" s="15" t="s">
        <v>12</v>
      </c>
      <c r="R4" s="15" t="s">
        <v>297</v>
      </c>
    </row>
    <row r="5">
      <c r="A5" s="18" t="s">
        <v>15</v>
      </c>
      <c r="B5" s="19" t="s">
        <v>16</v>
      </c>
      <c r="C5" s="19" t="s">
        <v>17</v>
      </c>
      <c r="D5" s="201" t="s">
        <v>18</v>
      </c>
      <c r="E5" s="201" t="s">
        <v>19</v>
      </c>
      <c r="F5" s="202" t="s">
        <v>20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>
      <c r="A6" s="203" t="s">
        <v>342</v>
      </c>
      <c r="B6" s="115" t="s">
        <v>109</v>
      </c>
      <c r="C6" s="204" t="s">
        <v>343</v>
      </c>
      <c r="D6" s="10"/>
      <c r="E6" s="243"/>
      <c r="F6" s="17"/>
      <c r="G6" s="274"/>
      <c r="H6" s="262"/>
      <c r="I6" s="320" t="s">
        <v>577</v>
      </c>
      <c r="J6" s="320" t="s">
        <v>577</v>
      </c>
      <c r="K6" s="262"/>
      <c r="L6" s="262"/>
      <c r="M6" s="262"/>
      <c r="N6" s="262"/>
      <c r="O6" s="262"/>
      <c r="P6" s="262"/>
      <c r="Q6" s="343"/>
      <c r="R6" s="262"/>
    </row>
    <row r="7">
      <c r="A7" s="32"/>
      <c r="B7" s="32"/>
      <c r="C7" s="91" t="s">
        <v>345</v>
      </c>
      <c r="D7" s="10"/>
      <c r="E7" s="247" t="s">
        <v>383</v>
      </c>
      <c r="F7" s="17"/>
      <c r="G7" s="262"/>
      <c r="H7" s="262"/>
      <c r="I7" s="262" t="s">
        <v>24</v>
      </c>
      <c r="J7" s="262"/>
      <c r="K7" s="262"/>
      <c r="L7" s="262"/>
      <c r="M7" s="262" t="s">
        <v>12</v>
      </c>
      <c r="N7" s="262" t="s">
        <v>24</v>
      </c>
      <c r="O7" s="262" t="s">
        <v>12</v>
      </c>
      <c r="P7" s="262" t="s">
        <v>24</v>
      </c>
      <c r="Q7" s="343"/>
      <c r="R7" s="262" t="s">
        <v>24</v>
      </c>
    </row>
    <row r="8">
      <c r="A8" s="32"/>
      <c r="B8" s="32"/>
      <c r="C8" s="91" t="s">
        <v>347</v>
      </c>
      <c r="D8" s="10"/>
      <c r="E8" s="245" t="s">
        <v>606</v>
      </c>
      <c r="F8" s="17"/>
      <c r="G8" s="274"/>
      <c r="H8" s="262"/>
      <c r="I8" s="284" t="s">
        <v>607</v>
      </c>
      <c r="J8" s="284" t="s">
        <v>607</v>
      </c>
      <c r="K8" s="262"/>
      <c r="L8" s="262"/>
      <c r="M8" s="262" t="s">
        <v>12</v>
      </c>
      <c r="N8" s="262" t="s">
        <v>24</v>
      </c>
      <c r="O8" s="262" t="s">
        <v>12</v>
      </c>
      <c r="P8" s="262" t="s">
        <v>24</v>
      </c>
      <c r="Q8" s="343"/>
      <c r="R8" s="262" t="s">
        <v>24</v>
      </c>
    </row>
    <row r="9">
      <c r="A9" s="32"/>
      <c r="B9" s="32"/>
      <c r="C9" s="77" t="s">
        <v>481</v>
      </c>
      <c r="D9" s="10"/>
      <c r="E9" s="245" t="s">
        <v>100</v>
      </c>
      <c r="F9" s="17"/>
      <c r="G9" s="274"/>
      <c r="H9" s="262"/>
      <c r="I9" s="284" t="s">
        <v>608</v>
      </c>
      <c r="J9" s="284" t="s">
        <v>608</v>
      </c>
      <c r="K9" s="262"/>
      <c r="L9" s="262"/>
      <c r="M9" s="262" t="s">
        <v>12</v>
      </c>
      <c r="N9" s="262" t="s">
        <v>24</v>
      </c>
      <c r="O9" s="262" t="s">
        <v>12</v>
      </c>
      <c r="P9" s="343"/>
      <c r="Q9" s="343"/>
      <c r="R9" s="358" t="s">
        <v>609</v>
      </c>
    </row>
    <row r="10">
      <c r="A10" s="32"/>
      <c r="B10" s="32"/>
      <c r="C10" s="77" t="s">
        <v>354</v>
      </c>
      <c r="D10" s="10"/>
      <c r="E10" s="10"/>
      <c r="F10" s="213" t="s">
        <v>83</v>
      </c>
      <c r="G10" s="262"/>
      <c r="H10" s="262"/>
      <c r="I10" s="262" t="s">
        <v>24</v>
      </c>
      <c r="J10" s="262" t="s">
        <v>24</v>
      </c>
      <c r="K10" s="262"/>
      <c r="L10" s="262"/>
      <c r="M10" s="262" t="s">
        <v>12</v>
      </c>
      <c r="N10" s="262" t="s">
        <v>24</v>
      </c>
      <c r="O10" s="262" t="s">
        <v>12</v>
      </c>
      <c r="P10" s="343"/>
      <c r="Q10" s="343"/>
      <c r="R10" s="262" t="s">
        <v>24</v>
      </c>
    </row>
    <row r="11">
      <c r="A11" s="32"/>
      <c r="B11" s="32"/>
      <c r="C11" s="85" t="s">
        <v>527</v>
      </c>
      <c r="D11" s="10"/>
      <c r="E11" s="245" t="s">
        <v>34</v>
      </c>
      <c r="F11" s="17"/>
      <c r="G11" s="274"/>
      <c r="H11" s="262"/>
      <c r="I11" s="320" t="s">
        <v>553</v>
      </c>
      <c r="J11" s="320" t="s">
        <v>553</v>
      </c>
      <c r="K11" s="262"/>
      <c r="L11" s="262"/>
      <c r="M11" s="262" t="s">
        <v>12</v>
      </c>
      <c r="N11" s="262" t="s">
        <v>24</v>
      </c>
      <c r="O11" s="262" t="s">
        <v>12</v>
      </c>
      <c r="P11" s="262" t="s">
        <v>24</v>
      </c>
      <c r="Q11" s="343"/>
      <c r="R11" s="284" t="s">
        <v>610</v>
      </c>
    </row>
    <row r="12">
      <c r="A12" s="32"/>
      <c r="B12" s="32"/>
      <c r="C12" s="77" t="s">
        <v>357</v>
      </c>
      <c r="D12" s="10"/>
      <c r="E12" s="245" t="s">
        <v>34</v>
      </c>
      <c r="F12" s="17"/>
      <c r="G12" s="262"/>
      <c r="H12" s="262"/>
      <c r="I12" s="262" t="s">
        <v>24</v>
      </c>
      <c r="J12" s="262" t="s">
        <v>24</v>
      </c>
      <c r="K12" s="262"/>
      <c r="L12" s="262"/>
      <c r="M12" s="262" t="s">
        <v>12</v>
      </c>
      <c r="N12" s="262" t="s">
        <v>24</v>
      </c>
      <c r="O12" s="262" t="s">
        <v>12</v>
      </c>
      <c r="P12" s="343"/>
      <c r="Q12" s="343"/>
      <c r="R12" s="262" t="s">
        <v>24</v>
      </c>
    </row>
    <row r="13">
      <c r="A13" s="32"/>
      <c r="B13" s="37"/>
      <c r="C13" s="77" t="s">
        <v>396</v>
      </c>
      <c r="D13" s="10"/>
      <c r="E13" s="245" t="s">
        <v>100</v>
      </c>
      <c r="F13" s="213" t="s">
        <v>103</v>
      </c>
      <c r="G13" s="262"/>
      <c r="H13" s="262"/>
      <c r="I13" s="262" t="s">
        <v>24</v>
      </c>
      <c r="J13" s="262" t="s">
        <v>24</v>
      </c>
      <c r="K13" s="262"/>
      <c r="L13" s="262"/>
      <c r="M13" s="262" t="s">
        <v>12</v>
      </c>
      <c r="N13" s="262" t="s">
        <v>24</v>
      </c>
      <c r="O13" s="262" t="s">
        <v>12</v>
      </c>
      <c r="P13" s="343"/>
      <c r="Q13" s="343"/>
      <c r="R13" s="284" t="s">
        <v>611</v>
      </c>
    </row>
    <row r="14">
      <c r="A14" s="32"/>
      <c r="B14" s="216" t="s">
        <v>362</v>
      </c>
      <c r="C14" s="204" t="s">
        <v>363</v>
      </c>
      <c r="D14" s="10"/>
      <c r="E14" s="10"/>
      <c r="F14" s="213" t="s">
        <v>364</v>
      </c>
      <c r="G14" s="298"/>
      <c r="H14" s="262"/>
      <c r="I14" s="358" t="s">
        <v>612</v>
      </c>
      <c r="J14" s="358" t="s">
        <v>613</v>
      </c>
      <c r="K14" s="262"/>
      <c r="L14" s="262"/>
      <c r="M14" s="262" t="s">
        <v>12</v>
      </c>
      <c r="N14" s="262" t="s">
        <v>24</v>
      </c>
      <c r="O14" s="262" t="s">
        <v>12</v>
      </c>
      <c r="P14" s="343"/>
      <c r="Q14" s="343"/>
      <c r="R14" s="284" t="s">
        <v>614</v>
      </c>
    </row>
    <row r="15">
      <c r="A15" s="32"/>
      <c r="B15" s="37"/>
      <c r="C15" s="329" t="s">
        <v>529</v>
      </c>
      <c r="D15" s="10"/>
      <c r="E15" s="10"/>
      <c r="F15" s="213" t="s">
        <v>530</v>
      </c>
      <c r="G15" s="262"/>
      <c r="H15" s="343"/>
      <c r="I15" s="284" t="s">
        <v>615</v>
      </c>
      <c r="J15" s="262" t="s">
        <v>24</v>
      </c>
      <c r="K15" s="343"/>
      <c r="L15" s="262"/>
      <c r="M15" s="262" t="s">
        <v>12</v>
      </c>
      <c r="N15" s="343"/>
      <c r="O15" s="262" t="s">
        <v>12</v>
      </c>
      <c r="P15" s="343"/>
      <c r="Q15" s="343"/>
      <c r="R15" s="262" t="s">
        <v>24</v>
      </c>
    </row>
    <row r="16">
      <c r="A16" s="203" t="s">
        <v>108</v>
      </c>
      <c r="B16" s="102" t="s">
        <v>109</v>
      </c>
      <c r="C16" s="77" t="s">
        <v>110</v>
      </c>
      <c r="D16" s="10"/>
      <c r="E16" s="10"/>
      <c r="F16" s="17"/>
      <c r="G16" s="274"/>
      <c r="H16" s="262"/>
      <c r="I16" s="320" t="s">
        <v>616</v>
      </c>
      <c r="J16" s="284" t="s">
        <v>617</v>
      </c>
      <c r="K16" s="262"/>
      <c r="L16" s="262"/>
      <c r="M16" s="262" t="s">
        <v>12</v>
      </c>
      <c r="N16" s="262" t="s">
        <v>24</v>
      </c>
      <c r="O16" s="262" t="s">
        <v>12</v>
      </c>
      <c r="P16" s="343"/>
      <c r="Q16" s="343"/>
      <c r="R16" s="262" t="s">
        <v>24</v>
      </c>
    </row>
    <row r="17">
      <c r="A17" s="32"/>
      <c r="B17" s="32"/>
      <c r="C17" s="77" t="s">
        <v>112</v>
      </c>
      <c r="D17" s="10"/>
      <c r="E17" s="10"/>
      <c r="F17" s="17"/>
      <c r="G17" s="262"/>
      <c r="H17" s="262"/>
      <c r="I17" s="262" t="s">
        <v>24</v>
      </c>
      <c r="J17" s="262" t="s">
        <v>24</v>
      </c>
      <c r="K17" s="262"/>
      <c r="L17" s="262"/>
      <c r="M17" s="262" t="s">
        <v>12</v>
      </c>
      <c r="N17" s="262" t="s">
        <v>24</v>
      </c>
      <c r="O17" s="262" t="s">
        <v>12</v>
      </c>
      <c r="P17" s="343"/>
      <c r="Q17" s="343"/>
      <c r="R17" s="262" t="s">
        <v>24</v>
      </c>
    </row>
    <row r="18">
      <c r="A18" s="32"/>
      <c r="B18" s="32"/>
      <c r="C18" s="83" t="s">
        <v>114</v>
      </c>
      <c r="D18" s="10"/>
      <c r="E18" s="243" t="s">
        <v>115</v>
      </c>
      <c r="F18" s="17"/>
      <c r="G18" s="262"/>
      <c r="H18" s="262"/>
      <c r="I18" s="262" t="s">
        <v>24</v>
      </c>
      <c r="J18" s="262" t="s">
        <v>24</v>
      </c>
      <c r="K18" s="262"/>
      <c r="L18" s="262"/>
      <c r="M18" s="262" t="s">
        <v>12</v>
      </c>
      <c r="N18" s="262" t="s">
        <v>24</v>
      </c>
      <c r="O18" s="262" t="s">
        <v>12</v>
      </c>
      <c r="P18" s="343"/>
      <c r="Q18" s="343"/>
      <c r="R18" s="262" t="s">
        <v>24</v>
      </c>
    </row>
    <row r="19">
      <c r="A19" s="32"/>
      <c r="B19" s="32"/>
      <c r="C19" s="85" t="s">
        <v>116</v>
      </c>
      <c r="D19" s="10"/>
      <c r="E19" s="10"/>
      <c r="F19" s="213" t="s">
        <v>117</v>
      </c>
      <c r="G19" s="262"/>
      <c r="H19" s="262"/>
      <c r="I19" s="262" t="s">
        <v>24</v>
      </c>
      <c r="J19" s="262" t="s">
        <v>24</v>
      </c>
      <c r="K19" s="262"/>
      <c r="L19" s="262"/>
      <c r="M19" s="262" t="s">
        <v>12</v>
      </c>
      <c r="N19" s="262" t="s">
        <v>24</v>
      </c>
      <c r="O19" s="262" t="s">
        <v>12</v>
      </c>
      <c r="P19" s="343"/>
      <c r="Q19" s="343"/>
      <c r="R19" s="359" t="s">
        <v>618</v>
      </c>
    </row>
    <row r="20">
      <c r="A20" s="32"/>
      <c r="B20" s="32"/>
      <c r="C20" s="87" t="s">
        <v>118</v>
      </c>
      <c r="D20" s="10"/>
      <c r="E20" s="252" t="s">
        <v>386</v>
      </c>
      <c r="F20" s="213"/>
      <c r="G20" s="262"/>
      <c r="H20" s="260"/>
      <c r="I20" s="262" t="s">
        <v>24</v>
      </c>
      <c r="J20" s="262" t="s">
        <v>24</v>
      </c>
      <c r="K20" s="260"/>
      <c r="L20" s="262"/>
      <c r="M20" s="262" t="s">
        <v>12</v>
      </c>
      <c r="N20" s="260" t="s">
        <v>24</v>
      </c>
      <c r="O20" s="262" t="s">
        <v>12</v>
      </c>
      <c r="P20" s="343"/>
      <c r="Q20" s="360"/>
      <c r="R20" s="262" t="s">
        <v>24</v>
      </c>
    </row>
    <row r="21">
      <c r="A21" s="32"/>
      <c r="B21" s="32"/>
      <c r="C21" s="90" t="s">
        <v>120</v>
      </c>
      <c r="D21" s="10"/>
      <c r="E21" s="252" t="s">
        <v>121</v>
      </c>
      <c r="F21" s="213" t="s">
        <v>122</v>
      </c>
      <c r="G21" s="262"/>
      <c r="H21" s="260"/>
      <c r="I21" s="262" t="s">
        <v>24</v>
      </c>
      <c r="J21" s="262" t="s">
        <v>24</v>
      </c>
      <c r="K21" s="260"/>
      <c r="L21" s="262"/>
      <c r="M21" s="262" t="s">
        <v>12</v>
      </c>
      <c r="N21" s="260" t="s">
        <v>24</v>
      </c>
      <c r="O21" s="262" t="s">
        <v>12</v>
      </c>
      <c r="P21" s="343"/>
      <c r="Q21" s="360"/>
      <c r="R21" s="361" t="s">
        <v>619</v>
      </c>
    </row>
    <row r="22">
      <c r="A22" s="32"/>
      <c r="B22" s="32"/>
      <c r="C22" s="91" t="s">
        <v>123</v>
      </c>
      <c r="D22" s="10"/>
      <c r="E22" s="10"/>
      <c r="F22" s="213" t="s">
        <v>124</v>
      </c>
      <c r="G22" s="262"/>
      <c r="H22" s="262"/>
      <c r="I22" s="262" t="s">
        <v>24</v>
      </c>
      <c r="J22" s="262" t="s">
        <v>24</v>
      </c>
      <c r="K22" s="262"/>
      <c r="L22" s="262"/>
      <c r="M22" s="262" t="s">
        <v>12</v>
      </c>
      <c r="N22" s="262" t="s">
        <v>24</v>
      </c>
      <c r="O22" s="262" t="s">
        <v>12</v>
      </c>
      <c r="P22" s="343"/>
      <c r="Q22" s="343"/>
      <c r="R22" s="362" t="s">
        <v>620</v>
      </c>
    </row>
    <row r="23">
      <c r="A23" s="32"/>
      <c r="B23" s="32"/>
      <c r="C23" s="92" t="s">
        <v>125</v>
      </c>
      <c r="D23" s="10"/>
      <c r="E23" s="10"/>
      <c r="F23" s="213" t="s">
        <v>126</v>
      </c>
      <c r="G23" s="274"/>
      <c r="H23" s="262"/>
      <c r="I23" s="320" t="s">
        <v>621</v>
      </c>
      <c r="J23" s="320" t="s">
        <v>621</v>
      </c>
      <c r="K23" s="262"/>
      <c r="L23" s="262"/>
      <c r="M23" s="262" t="s">
        <v>12</v>
      </c>
      <c r="N23" s="262" t="s">
        <v>24</v>
      </c>
      <c r="O23" s="262" t="s">
        <v>12</v>
      </c>
      <c r="P23" s="343"/>
      <c r="Q23" s="343"/>
      <c r="R23" s="262" t="s">
        <v>24</v>
      </c>
    </row>
    <row r="24">
      <c r="A24" s="32"/>
      <c r="B24" s="32"/>
      <c r="C24" s="77" t="s">
        <v>127</v>
      </c>
      <c r="D24" s="10"/>
      <c r="E24" s="10"/>
      <c r="F24" s="213" t="s">
        <v>128</v>
      </c>
      <c r="G24" s="262"/>
      <c r="H24" s="262"/>
      <c r="I24" s="262" t="s">
        <v>24</v>
      </c>
      <c r="J24" s="262" t="s">
        <v>24</v>
      </c>
      <c r="K24" s="262"/>
      <c r="L24" s="262"/>
      <c r="M24" s="262" t="s">
        <v>12</v>
      </c>
      <c r="N24" s="262" t="s">
        <v>24</v>
      </c>
      <c r="O24" s="262" t="s">
        <v>12</v>
      </c>
      <c r="P24" s="343"/>
      <c r="Q24" s="343"/>
      <c r="R24" s="284" t="s">
        <v>620</v>
      </c>
    </row>
    <row r="25">
      <c r="A25" s="32"/>
      <c r="B25" s="32"/>
      <c r="C25" s="93" t="s">
        <v>129</v>
      </c>
      <c r="D25" s="10"/>
      <c r="E25" s="10"/>
      <c r="F25" s="17"/>
      <c r="G25" s="262"/>
      <c r="H25" s="262"/>
      <c r="I25" s="262" t="s">
        <v>24</v>
      </c>
      <c r="J25" s="262" t="s">
        <v>24</v>
      </c>
      <c r="K25" s="262"/>
      <c r="L25" s="262"/>
      <c r="M25" s="262" t="s">
        <v>12</v>
      </c>
      <c r="N25" s="262" t="s">
        <v>24</v>
      </c>
      <c r="O25" s="262" t="s">
        <v>12</v>
      </c>
      <c r="P25" s="343"/>
      <c r="Q25" s="343"/>
      <c r="R25" s="262" t="s">
        <v>24</v>
      </c>
    </row>
    <row r="26">
      <c r="A26" s="32"/>
      <c r="B26" s="32"/>
      <c r="C26" s="92" t="s">
        <v>368</v>
      </c>
      <c r="D26" s="10"/>
      <c r="E26" s="10"/>
      <c r="F26" s="17"/>
      <c r="G26" s="262"/>
      <c r="H26" s="262"/>
      <c r="I26" s="262" t="s">
        <v>24</v>
      </c>
      <c r="J26" s="262" t="s">
        <v>24</v>
      </c>
      <c r="K26" s="262"/>
      <c r="L26" s="262"/>
      <c r="M26" s="262" t="s">
        <v>12</v>
      </c>
      <c r="N26" s="262" t="s">
        <v>24</v>
      </c>
      <c r="O26" s="262" t="s">
        <v>12</v>
      </c>
      <c r="P26" s="343"/>
      <c r="Q26" s="343"/>
      <c r="R26" s="262" t="s">
        <v>24</v>
      </c>
    </row>
    <row r="27">
      <c r="A27" s="32"/>
      <c r="B27" s="32"/>
      <c r="C27" s="98" t="s">
        <v>134</v>
      </c>
      <c r="D27" s="10"/>
      <c r="E27" s="10"/>
      <c r="F27" s="221" t="s">
        <v>136</v>
      </c>
      <c r="G27" s="353"/>
      <c r="H27" s="262"/>
      <c r="I27" s="284" t="s">
        <v>587</v>
      </c>
      <c r="J27" s="262" t="s">
        <v>24</v>
      </c>
      <c r="K27" s="262"/>
      <c r="L27" s="262"/>
      <c r="M27" s="262" t="s">
        <v>12</v>
      </c>
      <c r="N27" s="262" t="s">
        <v>24</v>
      </c>
      <c r="O27" s="262" t="s">
        <v>12</v>
      </c>
      <c r="P27" s="343"/>
      <c r="Q27" s="343"/>
      <c r="R27" s="284" t="s">
        <v>136</v>
      </c>
    </row>
    <row r="28">
      <c r="A28" s="32"/>
      <c r="B28" s="32"/>
      <c r="C28" s="92" t="s">
        <v>137</v>
      </c>
      <c r="D28" s="10"/>
      <c r="E28" s="10"/>
      <c r="F28" s="17"/>
      <c r="G28" s="274"/>
      <c r="H28" s="262"/>
      <c r="I28" s="262" t="s">
        <v>24</v>
      </c>
      <c r="J28" s="320" t="s">
        <v>622</v>
      </c>
      <c r="K28" s="262"/>
      <c r="L28" s="262"/>
      <c r="M28" s="262" t="s">
        <v>12</v>
      </c>
      <c r="N28" s="262" t="s">
        <v>24</v>
      </c>
      <c r="O28" s="262" t="s">
        <v>12</v>
      </c>
      <c r="P28" s="343"/>
      <c r="Q28" s="343"/>
      <c r="R28" s="262" t="s">
        <v>24</v>
      </c>
    </row>
    <row r="29">
      <c r="A29" s="32"/>
      <c r="B29" s="32"/>
      <c r="C29" s="92" t="s">
        <v>138</v>
      </c>
      <c r="D29" s="10"/>
      <c r="E29" s="10"/>
      <c r="F29" s="17"/>
      <c r="G29" s="262"/>
      <c r="H29" s="262"/>
      <c r="I29" s="262" t="s">
        <v>24</v>
      </c>
      <c r="J29" s="262" t="s">
        <v>24</v>
      </c>
      <c r="K29" s="262"/>
      <c r="L29" s="262"/>
      <c r="M29" s="262" t="s">
        <v>12</v>
      </c>
      <c r="N29" s="262" t="s">
        <v>24</v>
      </c>
      <c r="O29" s="262" t="s">
        <v>12</v>
      </c>
      <c r="P29" s="343"/>
      <c r="Q29" s="343"/>
      <c r="R29" s="262" t="s">
        <v>24</v>
      </c>
    </row>
    <row r="30">
      <c r="A30" s="32"/>
      <c r="B30" s="37"/>
      <c r="C30" s="101" t="s">
        <v>139</v>
      </c>
      <c r="D30" s="10"/>
      <c r="E30" s="10"/>
      <c r="F30" s="17"/>
      <c r="G30" s="262"/>
      <c r="H30" s="262"/>
      <c r="I30" s="262" t="s">
        <v>24</v>
      </c>
      <c r="J30" s="262" t="s">
        <v>24</v>
      </c>
      <c r="K30" s="262"/>
      <c r="L30" s="262"/>
      <c r="M30" s="262" t="s">
        <v>12</v>
      </c>
      <c r="N30" s="262" t="s">
        <v>24</v>
      </c>
      <c r="O30" s="262" t="s">
        <v>12</v>
      </c>
      <c r="P30" s="343"/>
      <c r="Q30" s="343"/>
      <c r="R30" s="262" t="s">
        <v>24</v>
      </c>
    </row>
    <row r="31">
      <c r="A31" s="32"/>
      <c r="B31" s="102" t="s">
        <v>140</v>
      </c>
      <c r="C31" s="103" t="s">
        <v>141</v>
      </c>
      <c r="D31" s="10"/>
      <c r="E31" s="10"/>
      <c r="F31" s="17"/>
      <c r="G31" s="262"/>
      <c r="H31" s="262"/>
      <c r="I31" s="284" t="s">
        <v>588</v>
      </c>
      <c r="J31" s="262" t="s">
        <v>24</v>
      </c>
      <c r="K31" s="262"/>
      <c r="L31" s="262"/>
      <c r="M31" s="262" t="s">
        <v>12</v>
      </c>
      <c r="N31" s="262" t="s">
        <v>24</v>
      </c>
      <c r="O31" s="262" t="s">
        <v>12</v>
      </c>
      <c r="P31" s="343"/>
      <c r="Q31" s="343"/>
      <c r="R31" s="262" t="s">
        <v>24</v>
      </c>
    </row>
    <row r="32">
      <c r="A32" s="32"/>
      <c r="B32" s="32"/>
      <c r="C32" s="93" t="s">
        <v>146</v>
      </c>
      <c r="D32" s="10"/>
      <c r="E32" s="10"/>
      <c r="F32" s="213" t="s">
        <v>147</v>
      </c>
      <c r="G32" s="262"/>
      <c r="H32" s="262"/>
      <c r="I32" s="262" t="s">
        <v>24</v>
      </c>
      <c r="J32" s="262" t="s">
        <v>24</v>
      </c>
      <c r="K32" s="262"/>
      <c r="L32" s="262"/>
      <c r="M32" s="262" t="s">
        <v>12</v>
      </c>
      <c r="N32" s="262" t="s">
        <v>24</v>
      </c>
      <c r="O32" s="262" t="s">
        <v>12</v>
      </c>
      <c r="P32" s="343"/>
      <c r="Q32" s="343"/>
      <c r="R32" s="262" t="s">
        <v>24</v>
      </c>
    </row>
    <row r="33">
      <c r="A33" s="32"/>
      <c r="B33" s="32"/>
      <c r="C33" s="107" t="s">
        <v>148</v>
      </c>
      <c r="D33" s="10"/>
      <c r="E33" s="10"/>
      <c r="F33" s="213" t="s">
        <v>149</v>
      </c>
      <c r="G33" s="262"/>
      <c r="H33" s="262"/>
      <c r="I33" s="262" t="s">
        <v>24</v>
      </c>
      <c r="J33" s="262" t="s">
        <v>24</v>
      </c>
      <c r="K33" s="262"/>
      <c r="L33" s="262"/>
      <c r="M33" s="262" t="s">
        <v>12</v>
      </c>
      <c r="N33" s="262" t="s">
        <v>24</v>
      </c>
      <c r="O33" s="262" t="s">
        <v>12</v>
      </c>
      <c r="P33" s="343"/>
      <c r="Q33" s="343"/>
      <c r="R33" s="262" t="s">
        <v>24</v>
      </c>
    </row>
    <row r="34">
      <c r="A34" s="32"/>
      <c r="B34" s="32"/>
      <c r="C34" s="108" t="s">
        <v>150</v>
      </c>
      <c r="D34" s="10"/>
      <c r="E34" s="10"/>
      <c r="F34" s="213" t="s">
        <v>149</v>
      </c>
      <c r="G34" s="262"/>
      <c r="H34" s="262"/>
      <c r="I34" s="262" t="s">
        <v>24</v>
      </c>
      <c r="J34" s="262" t="s">
        <v>24</v>
      </c>
      <c r="K34" s="262"/>
      <c r="L34" s="262"/>
      <c r="M34" s="262" t="s">
        <v>12</v>
      </c>
      <c r="N34" s="262" t="s">
        <v>24</v>
      </c>
      <c r="O34" s="262" t="s">
        <v>12</v>
      </c>
      <c r="P34" s="343"/>
      <c r="Q34" s="343"/>
      <c r="R34" s="262" t="s">
        <v>24</v>
      </c>
    </row>
    <row r="35">
      <c r="A35" s="32"/>
      <c r="B35" s="32"/>
      <c r="C35" s="307" t="s">
        <v>488</v>
      </c>
      <c r="D35" s="10"/>
      <c r="E35" s="10"/>
      <c r="F35" s="17"/>
      <c r="G35" s="262"/>
      <c r="H35" s="262"/>
      <c r="I35" s="262" t="s">
        <v>24</v>
      </c>
      <c r="J35" s="262" t="s">
        <v>24</v>
      </c>
      <c r="K35" s="262"/>
      <c r="L35" s="262"/>
      <c r="M35" s="262" t="s">
        <v>12</v>
      </c>
      <c r="N35" s="262" t="s">
        <v>24</v>
      </c>
      <c r="O35" s="262" t="s">
        <v>12</v>
      </c>
      <c r="P35" s="343"/>
      <c r="Q35" s="343"/>
      <c r="R35" s="284" t="s">
        <v>623</v>
      </c>
    </row>
    <row r="36">
      <c r="A36" s="32"/>
      <c r="B36" s="32"/>
      <c r="C36" s="111" t="s">
        <v>155</v>
      </c>
      <c r="D36" s="10"/>
      <c r="E36" s="10"/>
      <c r="F36" s="221" t="s">
        <v>397</v>
      </c>
      <c r="G36" s="354"/>
      <c r="H36" s="274"/>
      <c r="I36" s="320" t="s">
        <v>397</v>
      </c>
      <c r="J36" s="274" t="s">
        <v>397</v>
      </c>
      <c r="K36" s="274"/>
      <c r="L36" s="262"/>
      <c r="M36" s="262" t="s">
        <v>12</v>
      </c>
      <c r="N36" s="274" t="s">
        <v>397</v>
      </c>
      <c r="O36" s="262" t="s">
        <v>12</v>
      </c>
      <c r="P36" s="343"/>
      <c r="Q36" s="343"/>
      <c r="R36" s="284" t="s">
        <v>624</v>
      </c>
    </row>
    <row r="37">
      <c r="A37" s="32"/>
      <c r="B37" s="32"/>
      <c r="C37" s="107" t="s">
        <v>556</v>
      </c>
      <c r="D37" s="10"/>
      <c r="E37" s="10"/>
      <c r="F37" s="17"/>
      <c r="G37" s="262"/>
      <c r="H37" s="343"/>
      <c r="I37" s="262" t="s">
        <v>24</v>
      </c>
      <c r="J37" s="262" t="s">
        <v>24</v>
      </c>
      <c r="K37" s="343"/>
      <c r="L37" s="262"/>
      <c r="M37" s="262" t="s">
        <v>12</v>
      </c>
      <c r="N37" s="343"/>
      <c r="O37" s="262" t="s">
        <v>12</v>
      </c>
      <c r="P37" s="343"/>
      <c r="Q37" s="343"/>
      <c r="R37" s="262" t="s">
        <v>24</v>
      </c>
    </row>
    <row r="38">
      <c r="A38" s="32"/>
      <c r="B38" s="32"/>
      <c r="C38" s="112" t="s">
        <v>157</v>
      </c>
      <c r="D38" s="10"/>
      <c r="E38" s="10"/>
      <c r="F38" s="17"/>
      <c r="G38" s="262"/>
      <c r="H38" s="262"/>
      <c r="I38" s="262" t="s">
        <v>24</v>
      </c>
      <c r="J38" s="262" t="s">
        <v>24</v>
      </c>
      <c r="K38" s="262"/>
      <c r="L38" s="262"/>
      <c r="M38" s="262" t="s">
        <v>12</v>
      </c>
      <c r="N38" s="262" t="s">
        <v>24</v>
      </c>
      <c r="O38" s="262" t="s">
        <v>12</v>
      </c>
      <c r="P38" s="343"/>
      <c r="Q38" s="343"/>
      <c r="R38" s="262" t="s">
        <v>24</v>
      </c>
    </row>
    <row r="39">
      <c r="A39" s="32"/>
      <c r="B39" s="32"/>
      <c r="C39" s="83" t="s">
        <v>159</v>
      </c>
      <c r="D39" s="10"/>
      <c r="E39" s="10"/>
      <c r="F39" s="17"/>
      <c r="G39" s="262"/>
      <c r="H39" s="262"/>
      <c r="I39" s="262" t="s">
        <v>24</v>
      </c>
      <c r="J39" s="262" t="s">
        <v>24</v>
      </c>
      <c r="K39" s="262"/>
      <c r="L39" s="262"/>
      <c r="M39" s="262" t="s">
        <v>12</v>
      </c>
      <c r="N39" s="262" t="s">
        <v>24</v>
      </c>
      <c r="O39" s="262" t="s">
        <v>12</v>
      </c>
      <c r="P39" s="343"/>
      <c r="Q39" s="343"/>
      <c r="R39" s="262" t="s">
        <v>24</v>
      </c>
    </row>
    <row r="40">
      <c r="A40" s="32"/>
      <c r="B40" s="32"/>
      <c r="C40" s="93" t="s">
        <v>161</v>
      </c>
      <c r="D40" s="10"/>
      <c r="E40" s="10"/>
      <c r="F40" s="17"/>
      <c r="G40" s="262"/>
      <c r="H40" s="262"/>
      <c r="I40" s="262" t="s">
        <v>24</v>
      </c>
      <c r="J40" s="262" t="s">
        <v>24</v>
      </c>
      <c r="K40" s="262"/>
      <c r="L40" s="262"/>
      <c r="M40" s="262" t="s">
        <v>12</v>
      </c>
      <c r="N40" s="262" t="s">
        <v>24</v>
      </c>
      <c r="O40" s="262" t="s">
        <v>12</v>
      </c>
      <c r="P40" s="343"/>
      <c r="Q40" s="343"/>
      <c r="R40" s="262" t="s">
        <v>24</v>
      </c>
    </row>
    <row r="41">
      <c r="A41" s="32"/>
      <c r="B41" s="32"/>
      <c r="C41" s="93" t="s">
        <v>162</v>
      </c>
      <c r="D41" s="10"/>
      <c r="E41" s="10"/>
      <c r="F41" s="223"/>
      <c r="G41" s="274"/>
      <c r="H41" s="262"/>
      <c r="I41" s="262" t="s">
        <v>24</v>
      </c>
      <c r="J41" s="284" t="s">
        <v>625</v>
      </c>
      <c r="K41" s="262"/>
      <c r="L41" s="262"/>
      <c r="M41" s="262" t="s">
        <v>12</v>
      </c>
      <c r="N41" s="262" t="s">
        <v>24</v>
      </c>
      <c r="O41" s="262" t="s">
        <v>12</v>
      </c>
      <c r="P41" s="343"/>
      <c r="Q41" s="343"/>
      <c r="R41" s="262" t="s">
        <v>24</v>
      </c>
    </row>
    <row r="42">
      <c r="A42" s="32"/>
      <c r="B42" s="32"/>
      <c r="C42" s="106" t="s">
        <v>164</v>
      </c>
      <c r="D42" s="10"/>
      <c r="E42" s="10"/>
      <c r="F42" s="224" t="s">
        <v>165</v>
      </c>
      <c r="G42" s="262"/>
      <c r="H42" s="262"/>
      <c r="I42" s="262" t="s">
        <v>24</v>
      </c>
      <c r="J42" s="262" t="s">
        <v>24</v>
      </c>
      <c r="K42" s="262"/>
      <c r="L42" s="262"/>
      <c r="M42" s="262" t="s">
        <v>12</v>
      </c>
      <c r="N42" s="262" t="s">
        <v>24</v>
      </c>
      <c r="O42" s="262" t="s">
        <v>12</v>
      </c>
      <c r="P42" s="343"/>
      <c r="Q42" s="343"/>
      <c r="R42" s="262"/>
    </row>
    <row r="43">
      <c r="A43" s="32"/>
      <c r="B43" s="37"/>
      <c r="C43" s="93" t="s">
        <v>168</v>
      </c>
      <c r="D43" s="10"/>
      <c r="E43" s="10"/>
      <c r="F43" s="17"/>
      <c r="G43" s="262"/>
      <c r="H43" s="262"/>
      <c r="I43" s="262" t="s">
        <v>24</v>
      </c>
      <c r="J43" s="262" t="s">
        <v>24</v>
      </c>
      <c r="K43" s="262"/>
      <c r="L43" s="262"/>
      <c r="M43" s="262" t="s">
        <v>12</v>
      </c>
      <c r="N43" s="262" t="s">
        <v>24</v>
      </c>
      <c r="O43" s="262" t="s">
        <v>12</v>
      </c>
      <c r="P43" s="343"/>
      <c r="Q43" s="343"/>
      <c r="R43" s="262" t="s">
        <v>24</v>
      </c>
    </row>
    <row r="44">
      <c r="A44" s="32"/>
      <c r="B44" s="115" t="s">
        <v>169</v>
      </c>
      <c r="C44" s="85" t="s">
        <v>141</v>
      </c>
      <c r="D44" s="10"/>
      <c r="E44" s="10"/>
      <c r="F44" s="213" t="s">
        <v>170</v>
      </c>
      <c r="G44" s="262"/>
      <c r="H44" s="262"/>
      <c r="I44" s="262" t="s">
        <v>24</v>
      </c>
      <c r="J44" s="262" t="s">
        <v>24</v>
      </c>
      <c r="K44" s="262"/>
      <c r="L44" s="262"/>
      <c r="M44" s="262" t="s">
        <v>12</v>
      </c>
      <c r="N44" s="262" t="s">
        <v>24</v>
      </c>
      <c r="O44" s="262" t="s">
        <v>12</v>
      </c>
      <c r="P44" s="343"/>
      <c r="Q44" s="343"/>
      <c r="R44" s="262" t="s">
        <v>24</v>
      </c>
    </row>
    <row r="45">
      <c r="A45" s="32"/>
      <c r="B45" s="32"/>
      <c r="C45" s="85" t="s">
        <v>171</v>
      </c>
      <c r="D45" s="10"/>
      <c r="E45" s="10"/>
      <c r="F45" s="17"/>
      <c r="G45" s="262"/>
      <c r="H45" s="262"/>
      <c r="I45" s="262" t="s">
        <v>24</v>
      </c>
      <c r="J45" s="262" t="s">
        <v>24</v>
      </c>
      <c r="K45" s="262"/>
      <c r="L45" s="262"/>
      <c r="M45" s="262" t="s">
        <v>12</v>
      </c>
      <c r="N45" s="262" t="s">
        <v>24</v>
      </c>
      <c r="O45" s="262" t="s">
        <v>12</v>
      </c>
      <c r="P45" s="343"/>
      <c r="Q45" s="343"/>
      <c r="R45" s="262" t="s">
        <v>24</v>
      </c>
    </row>
    <row r="46">
      <c r="A46" s="32"/>
      <c r="B46" s="32"/>
      <c r="C46" s="77" t="s">
        <v>534</v>
      </c>
      <c r="D46" s="10"/>
      <c r="E46" s="10"/>
      <c r="F46" s="213" t="s">
        <v>535</v>
      </c>
      <c r="G46" s="346"/>
      <c r="H46" s="346"/>
      <c r="I46" s="320" t="s">
        <v>536</v>
      </c>
      <c r="J46" s="363" t="s">
        <v>535</v>
      </c>
      <c r="K46" s="346"/>
      <c r="L46" s="262"/>
      <c r="M46" s="262" t="s">
        <v>12</v>
      </c>
      <c r="N46" s="364" t="s">
        <v>535</v>
      </c>
      <c r="O46" s="262" t="s">
        <v>12</v>
      </c>
      <c r="P46" s="343"/>
      <c r="Q46" s="343"/>
      <c r="R46" s="364" t="s">
        <v>535</v>
      </c>
    </row>
    <row r="47">
      <c r="A47" s="32"/>
      <c r="B47" s="37"/>
      <c r="C47" s="77" t="s">
        <v>177</v>
      </c>
      <c r="D47" s="10"/>
      <c r="E47" s="10"/>
      <c r="F47" s="17"/>
      <c r="G47" s="262"/>
      <c r="H47" s="262"/>
      <c r="I47" s="262" t="s">
        <v>24</v>
      </c>
      <c r="J47" s="262" t="s">
        <v>24</v>
      </c>
      <c r="K47" s="262"/>
      <c r="L47" s="262"/>
      <c r="M47" s="262" t="s">
        <v>12</v>
      </c>
      <c r="N47" s="262" t="s">
        <v>24</v>
      </c>
      <c r="O47" s="262" t="s">
        <v>12</v>
      </c>
      <c r="P47" s="343"/>
      <c r="Q47" s="343"/>
      <c r="R47" s="262" t="s">
        <v>24</v>
      </c>
    </row>
    <row r="48">
      <c r="A48" s="32"/>
      <c r="B48" s="102" t="s">
        <v>178</v>
      </c>
      <c r="C48" s="93" t="s">
        <v>179</v>
      </c>
      <c r="D48" s="10"/>
      <c r="E48" s="10"/>
      <c r="F48" s="17"/>
      <c r="G48" s="274"/>
      <c r="H48" s="262"/>
      <c r="I48" s="320" t="s">
        <v>626</v>
      </c>
      <c r="J48" s="320" t="s">
        <v>626</v>
      </c>
      <c r="K48" s="262"/>
      <c r="L48" s="262"/>
      <c r="M48" s="262" t="s">
        <v>12</v>
      </c>
      <c r="N48" s="262" t="s">
        <v>24</v>
      </c>
      <c r="O48" s="262" t="s">
        <v>12</v>
      </c>
      <c r="P48" s="343"/>
      <c r="Q48" s="343"/>
      <c r="R48" s="262" t="s">
        <v>24</v>
      </c>
    </row>
    <row r="49">
      <c r="A49" s="32"/>
      <c r="B49" s="32"/>
      <c r="C49" s="93" t="s">
        <v>141</v>
      </c>
      <c r="D49" s="10"/>
      <c r="E49" s="10"/>
      <c r="F49" s="17"/>
      <c r="G49" s="262"/>
      <c r="H49" s="262"/>
      <c r="I49" s="262" t="s">
        <v>24</v>
      </c>
      <c r="J49" s="262" t="s">
        <v>24</v>
      </c>
      <c r="K49" s="262"/>
      <c r="L49" s="262"/>
      <c r="M49" s="262" t="s">
        <v>12</v>
      </c>
      <c r="N49" s="11" t="s">
        <v>627</v>
      </c>
      <c r="O49" s="262" t="s">
        <v>12</v>
      </c>
      <c r="P49" s="343"/>
      <c r="Q49" s="343"/>
      <c r="R49" s="365" t="s">
        <v>628</v>
      </c>
    </row>
    <row r="50">
      <c r="A50" s="32"/>
      <c r="B50" s="32"/>
      <c r="C50" s="106" t="s">
        <v>181</v>
      </c>
      <c r="D50" s="10"/>
      <c r="E50" s="10"/>
      <c r="F50" s="213" t="s">
        <v>182</v>
      </c>
      <c r="G50" s="262"/>
      <c r="H50" s="262"/>
      <c r="I50" s="262" t="s">
        <v>24</v>
      </c>
      <c r="J50" s="262" t="s">
        <v>24</v>
      </c>
      <c r="K50" s="262"/>
      <c r="L50" s="262"/>
      <c r="M50" s="262" t="s">
        <v>12</v>
      </c>
      <c r="N50" s="262" t="s">
        <v>12</v>
      </c>
      <c r="O50" s="262" t="s">
        <v>12</v>
      </c>
      <c r="P50" s="343"/>
      <c r="Q50" s="343"/>
      <c r="R50" s="262"/>
    </row>
    <row r="51">
      <c r="A51" s="32"/>
      <c r="B51" s="32"/>
      <c r="C51" s="93" t="s">
        <v>183</v>
      </c>
      <c r="D51" s="10"/>
      <c r="E51" s="10"/>
      <c r="F51" s="17"/>
      <c r="G51" s="262"/>
      <c r="H51" s="262"/>
      <c r="I51" s="262" t="s">
        <v>24</v>
      </c>
      <c r="J51" s="262" t="s">
        <v>24</v>
      </c>
      <c r="K51" s="262"/>
      <c r="L51" s="262"/>
      <c r="M51" s="262" t="s">
        <v>12</v>
      </c>
      <c r="N51" s="262" t="s">
        <v>24</v>
      </c>
      <c r="O51" s="262" t="s">
        <v>12</v>
      </c>
      <c r="P51" s="343"/>
      <c r="Q51" s="343"/>
      <c r="R51" s="262" t="s">
        <v>24</v>
      </c>
    </row>
    <row r="52">
      <c r="A52" s="32"/>
      <c r="B52" s="32"/>
      <c r="C52" s="93" t="s">
        <v>184</v>
      </c>
      <c r="D52" s="10"/>
      <c r="E52" s="10"/>
      <c r="F52" s="17"/>
      <c r="G52" s="262"/>
      <c r="H52" s="262"/>
      <c r="I52" s="262" t="s">
        <v>24</v>
      </c>
      <c r="J52" s="262" t="s">
        <v>24</v>
      </c>
      <c r="K52" s="262"/>
      <c r="L52" s="262"/>
      <c r="M52" s="262" t="s">
        <v>12</v>
      </c>
      <c r="N52" s="262" t="s">
        <v>24</v>
      </c>
      <c r="O52" s="262" t="s">
        <v>12</v>
      </c>
      <c r="P52" s="343"/>
      <c r="Q52" s="343"/>
      <c r="R52" s="262" t="s">
        <v>24</v>
      </c>
    </row>
    <row r="53">
      <c r="A53" s="32"/>
      <c r="B53" s="32"/>
      <c r="C53" s="93" t="s">
        <v>512</v>
      </c>
      <c r="D53" s="10"/>
      <c r="E53" s="10"/>
      <c r="F53" s="213" t="s">
        <v>186</v>
      </c>
      <c r="G53" s="262"/>
      <c r="H53" s="262"/>
      <c r="I53" s="262" t="s">
        <v>24</v>
      </c>
      <c r="J53" s="262" t="s">
        <v>24</v>
      </c>
      <c r="K53" s="262"/>
      <c r="L53" s="262"/>
      <c r="M53" s="262" t="s">
        <v>12</v>
      </c>
      <c r="N53" s="262" t="s">
        <v>24</v>
      </c>
      <c r="O53" s="262" t="s">
        <v>12</v>
      </c>
      <c r="P53" s="343"/>
      <c r="Q53" s="343"/>
      <c r="R53" s="284" t="s">
        <v>182</v>
      </c>
    </row>
    <row r="54">
      <c r="A54" s="32"/>
      <c r="B54" s="32"/>
      <c r="C54" s="87" t="s">
        <v>187</v>
      </c>
      <c r="D54" s="10"/>
      <c r="E54" s="10"/>
      <c r="F54" s="17"/>
      <c r="G54" s="262"/>
      <c r="H54" s="262"/>
      <c r="I54" s="262" t="s">
        <v>24</v>
      </c>
      <c r="J54" s="262" t="s">
        <v>24</v>
      </c>
      <c r="K54" s="262"/>
      <c r="L54" s="262"/>
      <c r="M54" s="262" t="s">
        <v>12</v>
      </c>
      <c r="N54" s="262" t="s">
        <v>24</v>
      </c>
      <c r="O54" s="262" t="s">
        <v>12</v>
      </c>
      <c r="P54" s="343"/>
      <c r="Q54" s="343"/>
      <c r="R54" s="284" t="s">
        <v>629</v>
      </c>
    </row>
    <row r="55">
      <c r="A55" s="32"/>
      <c r="B55" s="32"/>
      <c r="C55" s="77" t="s">
        <v>190</v>
      </c>
      <c r="D55" s="10"/>
      <c r="E55" s="10"/>
      <c r="F55" s="17"/>
      <c r="G55" s="262"/>
      <c r="H55" s="262"/>
      <c r="I55" s="284" t="s">
        <v>588</v>
      </c>
      <c r="J55" s="262" t="s">
        <v>24</v>
      </c>
      <c r="K55" s="262"/>
      <c r="L55" s="262"/>
      <c r="M55" s="262" t="s">
        <v>12</v>
      </c>
      <c r="N55" s="262" t="s">
        <v>24</v>
      </c>
      <c r="O55" s="262" t="s">
        <v>12</v>
      </c>
      <c r="P55" s="343"/>
      <c r="Q55" s="343"/>
      <c r="R55" s="262" t="s">
        <v>24</v>
      </c>
    </row>
    <row r="56">
      <c r="A56" s="32"/>
      <c r="B56" s="32"/>
      <c r="C56" s="93" t="s">
        <v>562</v>
      </c>
      <c r="D56" s="10"/>
      <c r="E56" s="10"/>
      <c r="F56" s="17"/>
      <c r="G56" s="262"/>
      <c r="H56" s="262"/>
      <c r="I56" s="262" t="s">
        <v>24</v>
      </c>
      <c r="J56" s="262" t="s">
        <v>24</v>
      </c>
      <c r="K56" s="262"/>
      <c r="L56" s="262"/>
      <c r="M56" s="262" t="s">
        <v>12</v>
      </c>
      <c r="N56" s="262" t="s">
        <v>24</v>
      </c>
      <c r="O56" s="262" t="s">
        <v>12</v>
      </c>
      <c r="P56" s="343"/>
      <c r="Q56" s="343"/>
      <c r="R56" s="262" t="s">
        <v>24</v>
      </c>
    </row>
    <row r="57">
      <c r="A57" s="32"/>
      <c r="B57" s="32"/>
      <c r="C57" s="93" t="s">
        <v>194</v>
      </c>
      <c r="D57" s="10"/>
      <c r="E57" s="10"/>
      <c r="F57" s="17"/>
      <c r="G57" s="262"/>
      <c r="H57" s="262"/>
      <c r="I57" s="262" t="s">
        <v>24</v>
      </c>
      <c r="J57" s="262" t="s">
        <v>24</v>
      </c>
      <c r="K57" s="262"/>
      <c r="L57" s="262"/>
      <c r="M57" s="262" t="s">
        <v>12</v>
      </c>
      <c r="N57" s="262" t="s">
        <v>24</v>
      </c>
      <c r="O57" s="262" t="s">
        <v>12</v>
      </c>
      <c r="P57" s="343"/>
      <c r="Q57" s="343"/>
      <c r="R57" s="262" t="s">
        <v>24</v>
      </c>
    </row>
    <row r="58">
      <c r="A58" s="32"/>
      <c r="B58" s="32"/>
      <c r="C58" s="103" t="s">
        <v>195</v>
      </c>
      <c r="D58" s="10"/>
      <c r="E58" s="10"/>
      <c r="F58" s="213" t="s">
        <v>196</v>
      </c>
      <c r="G58" s="262"/>
      <c r="H58" s="262"/>
      <c r="I58" s="262" t="s">
        <v>24</v>
      </c>
      <c r="J58" s="262" t="s">
        <v>24</v>
      </c>
      <c r="K58" s="262"/>
      <c r="L58" s="262"/>
      <c r="M58" s="262" t="s">
        <v>12</v>
      </c>
      <c r="N58" s="262" t="s">
        <v>24</v>
      </c>
      <c r="O58" s="262" t="s">
        <v>12</v>
      </c>
      <c r="P58" s="343"/>
      <c r="Q58" s="343"/>
      <c r="R58" s="262" t="s">
        <v>24</v>
      </c>
    </row>
    <row r="59">
      <c r="A59" s="32"/>
      <c r="B59" s="32"/>
      <c r="C59" s="93" t="s">
        <v>197</v>
      </c>
      <c r="D59" s="10"/>
      <c r="E59" s="10"/>
      <c r="F59" s="213" t="s">
        <v>196</v>
      </c>
      <c r="G59" s="274"/>
      <c r="H59" s="262"/>
      <c r="I59" s="262" t="s">
        <v>24</v>
      </c>
      <c r="J59" s="284" t="s">
        <v>630</v>
      </c>
      <c r="K59" s="262"/>
      <c r="L59" s="262"/>
      <c r="M59" s="262" t="s">
        <v>12</v>
      </c>
      <c r="N59" s="262" t="s">
        <v>24</v>
      </c>
      <c r="O59" s="262" t="s">
        <v>12</v>
      </c>
      <c r="P59" s="343"/>
      <c r="Q59" s="343"/>
      <c r="R59" s="262" t="s">
        <v>24</v>
      </c>
    </row>
    <row r="60">
      <c r="A60" s="32"/>
      <c r="B60" s="32"/>
      <c r="C60" s="93" t="s">
        <v>198</v>
      </c>
      <c r="D60" s="10"/>
      <c r="E60" s="10"/>
      <c r="F60" s="213" t="s">
        <v>196</v>
      </c>
      <c r="G60" s="262"/>
      <c r="H60" s="262"/>
      <c r="I60" s="262" t="s">
        <v>24</v>
      </c>
      <c r="J60" s="262" t="s">
        <v>24</v>
      </c>
      <c r="K60" s="262"/>
      <c r="L60" s="262"/>
      <c r="M60" s="262" t="s">
        <v>12</v>
      </c>
      <c r="N60" s="262" t="s">
        <v>24</v>
      </c>
      <c r="O60" s="262" t="s">
        <v>12</v>
      </c>
      <c r="P60" s="343"/>
      <c r="Q60" s="343"/>
      <c r="R60" s="262" t="s">
        <v>24</v>
      </c>
    </row>
    <row r="61">
      <c r="A61" s="32"/>
      <c r="B61" s="32"/>
      <c r="C61" s="106" t="s">
        <v>201</v>
      </c>
      <c r="D61" s="10"/>
      <c r="E61" s="10"/>
      <c r="F61" s="213" t="s">
        <v>202</v>
      </c>
      <c r="G61" s="262"/>
      <c r="H61" s="262"/>
      <c r="I61" s="262" t="s">
        <v>24</v>
      </c>
      <c r="J61" s="262" t="s">
        <v>24</v>
      </c>
      <c r="K61" s="262"/>
      <c r="L61" s="262"/>
      <c r="M61" s="262" t="s">
        <v>12</v>
      </c>
      <c r="N61" s="262" t="s">
        <v>24</v>
      </c>
      <c r="O61" s="262" t="s">
        <v>12</v>
      </c>
      <c r="P61" s="343"/>
      <c r="Q61" s="343"/>
      <c r="R61" s="262" t="s">
        <v>24</v>
      </c>
    </row>
    <row r="62">
      <c r="A62" s="32"/>
      <c r="B62" s="32"/>
      <c r="C62" s="349" t="s">
        <v>563</v>
      </c>
      <c r="D62" s="10"/>
      <c r="E62" s="10"/>
      <c r="F62" s="17"/>
      <c r="G62" s="274"/>
      <c r="H62" s="262"/>
      <c r="I62" s="284" t="s">
        <v>588</v>
      </c>
      <c r="J62" s="284" t="s">
        <v>630</v>
      </c>
      <c r="K62" s="262"/>
      <c r="L62" s="262"/>
      <c r="M62" s="262" t="s">
        <v>12</v>
      </c>
      <c r="N62" s="262" t="s">
        <v>24</v>
      </c>
      <c r="O62" s="262" t="s">
        <v>12</v>
      </c>
      <c r="P62" s="343"/>
      <c r="Q62" s="343"/>
      <c r="R62" s="262" t="s">
        <v>24</v>
      </c>
    </row>
    <row r="63">
      <c r="A63" s="32"/>
      <c r="B63" s="32"/>
      <c r="C63" s="83" t="s">
        <v>564</v>
      </c>
      <c r="D63" s="10"/>
      <c r="E63" s="10"/>
      <c r="F63" s="213" t="s">
        <v>124</v>
      </c>
      <c r="G63" s="262"/>
      <c r="H63" s="262"/>
      <c r="I63" s="262" t="s">
        <v>517</v>
      </c>
      <c r="J63" s="262" t="s">
        <v>517</v>
      </c>
      <c r="K63" s="262"/>
      <c r="L63" s="262"/>
      <c r="M63" s="262" t="s">
        <v>12</v>
      </c>
      <c r="N63" s="262" t="s">
        <v>517</v>
      </c>
      <c r="O63" s="262" t="s">
        <v>12</v>
      </c>
      <c r="P63" s="343"/>
      <c r="Q63" s="343"/>
      <c r="R63" s="262" t="s">
        <v>517</v>
      </c>
    </row>
    <row r="64">
      <c r="A64" s="32"/>
      <c r="B64" s="32"/>
      <c r="C64" s="120" t="s">
        <v>316</v>
      </c>
      <c r="D64" s="10"/>
      <c r="E64" s="10"/>
      <c r="F64" s="213" t="s">
        <v>124</v>
      </c>
      <c r="G64" s="274"/>
      <c r="H64" s="262"/>
      <c r="I64" s="262" t="s">
        <v>24</v>
      </c>
      <c r="J64" s="284" t="s">
        <v>631</v>
      </c>
      <c r="K64" s="262"/>
      <c r="L64" s="262"/>
      <c r="M64" s="262" t="s">
        <v>12</v>
      </c>
      <c r="N64" s="262" t="s">
        <v>24</v>
      </c>
      <c r="O64" s="262" t="s">
        <v>12</v>
      </c>
      <c r="P64" s="343"/>
      <c r="Q64" s="343"/>
      <c r="R64" s="262" t="s">
        <v>24</v>
      </c>
    </row>
    <row r="65">
      <c r="A65" s="32"/>
      <c r="B65" s="32"/>
      <c r="C65" s="121" t="s">
        <v>205</v>
      </c>
      <c r="D65" s="10"/>
      <c r="E65" s="10"/>
      <c r="F65" s="213" t="s">
        <v>207</v>
      </c>
      <c r="G65" s="262"/>
      <c r="H65" s="262"/>
      <c r="I65" s="262" t="s">
        <v>24</v>
      </c>
      <c r="J65" s="262" t="s">
        <v>24</v>
      </c>
      <c r="K65" s="262"/>
      <c r="L65" s="262"/>
      <c r="M65" s="262" t="s">
        <v>12</v>
      </c>
      <c r="N65" s="262" t="s">
        <v>24</v>
      </c>
      <c r="O65" s="262" t="s">
        <v>12</v>
      </c>
      <c r="P65" s="343"/>
      <c r="Q65" s="343"/>
      <c r="R65" s="262" t="s">
        <v>24</v>
      </c>
    </row>
    <row r="66">
      <c r="A66" s="32"/>
      <c r="B66" s="37"/>
      <c r="C66" s="93" t="s">
        <v>492</v>
      </c>
      <c r="D66" s="10"/>
      <c r="E66" s="10"/>
      <c r="F66" s="213" t="s">
        <v>493</v>
      </c>
      <c r="G66" s="274"/>
      <c r="H66" s="262"/>
      <c r="I66" s="320" t="s">
        <v>595</v>
      </c>
      <c r="J66" s="320" t="s">
        <v>595</v>
      </c>
      <c r="K66" s="262"/>
      <c r="L66" s="262"/>
      <c r="M66" s="262" t="s">
        <v>12</v>
      </c>
      <c r="N66" s="262" t="s">
        <v>12</v>
      </c>
      <c r="O66" s="262" t="s">
        <v>12</v>
      </c>
      <c r="P66" s="343"/>
      <c r="Q66" s="343"/>
      <c r="R66" s="343"/>
    </row>
    <row r="67">
      <c r="A67" s="32"/>
      <c r="B67" s="102" t="s">
        <v>208</v>
      </c>
      <c r="C67" s="106" t="s">
        <v>209</v>
      </c>
      <c r="D67" s="10"/>
      <c r="E67" s="10"/>
      <c r="F67" s="17"/>
      <c r="G67" s="262"/>
      <c r="H67" s="262"/>
      <c r="I67" s="262" t="s">
        <v>24</v>
      </c>
      <c r="J67" s="262" t="s">
        <v>24</v>
      </c>
      <c r="K67" s="262"/>
      <c r="L67" s="262"/>
      <c r="M67" s="262" t="s">
        <v>12</v>
      </c>
      <c r="N67" s="262" t="s">
        <v>24</v>
      </c>
      <c r="O67" s="262" t="s">
        <v>12</v>
      </c>
      <c r="P67" s="343"/>
      <c r="Q67" s="343"/>
      <c r="R67" s="262" t="s">
        <v>24</v>
      </c>
    </row>
    <row r="68">
      <c r="A68" s="32"/>
      <c r="B68" s="32"/>
      <c r="C68" s="123" t="s">
        <v>210</v>
      </c>
      <c r="D68" s="10"/>
      <c r="E68" s="10"/>
      <c r="F68" s="213" t="s">
        <v>211</v>
      </c>
      <c r="G68" s="262"/>
      <c r="H68" s="262"/>
      <c r="I68" s="262" t="s">
        <v>24</v>
      </c>
      <c r="J68" s="262" t="s">
        <v>24</v>
      </c>
      <c r="K68" s="262"/>
      <c r="L68" s="262"/>
      <c r="M68" s="262" t="s">
        <v>12</v>
      </c>
      <c r="N68" s="262" t="s">
        <v>24</v>
      </c>
      <c r="O68" s="262" t="s">
        <v>12</v>
      </c>
      <c r="P68" s="343"/>
      <c r="Q68" s="343"/>
      <c r="R68" s="262" t="s">
        <v>24</v>
      </c>
    </row>
    <row r="69">
      <c r="A69" s="32"/>
      <c r="B69" s="32"/>
      <c r="C69" s="124" t="s">
        <v>212</v>
      </c>
      <c r="D69" s="10"/>
      <c r="E69" s="10"/>
      <c r="F69" s="17"/>
      <c r="G69" s="262"/>
      <c r="H69" s="262"/>
      <c r="I69" s="262" t="s">
        <v>24</v>
      </c>
      <c r="J69" s="262" t="s">
        <v>24</v>
      </c>
      <c r="K69" s="262"/>
      <c r="L69" s="262"/>
      <c r="M69" s="262" t="s">
        <v>12</v>
      </c>
      <c r="N69" s="262" t="s">
        <v>24</v>
      </c>
      <c r="O69" s="262" t="s">
        <v>12</v>
      </c>
      <c r="P69" s="343"/>
      <c r="Q69" s="343"/>
      <c r="R69" s="262" t="s">
        <v>24</v>
      </c>
    </row>
    <row r="70">
      <c r="A70" s="32"/>
      <c r="B70" s="32"/>
      <c r="C70" s="125" t="s">
        <v>213</v>
      </c>
      <c r="D70" s="10"/>
      <c r="E70" s="10"/>
      <c r="F70" s="17"/>
      <c r="G70" s="262"/>
      <c r="H70" s="262"/>
      <c r="I70" s="262" t="s">
        <v>24</v>
      </c>
      <c r="J70" s="262" t="s">
        <v>24</v>
      </c>
      <c r="K70" s="262"/>
      <c r="L70" s="262"/>
      <c r="M70" s="262" t="s">
        <v>12</v>
      </c>
      <c r="N70" s="262" t="s">
        <v>24</v>
      </c>
      <c r="O70" s="262" t="s">
        <v>12</v>
      </c>
      <c r="P70" s="343"/>
      <c r="Q70" s="343"/>
      <c r="R70" s="262" t="s">
        <v>24</v>
      </c>
    </row>
    <row r="71">
      <c r="A71" s="32"/>
      <c r="B71" s="32"/>
      <c r="C71" s="124" t="s">
        <v>214</v>
      </c>
      <c r="D71" s="10"/>
      <c r="E71" s="10"/>
      <c r="F71" s="17"/>
      <c r="G71" s="262"/>
      <c r="H71" s="262"/>
      <c r="I71" s="262" t="s">
        <v>24</v>
      </c>
      <c r="J71" s="262" t="s">
        <v>24</v>
      </c>
      <c r="K71" s="262"/>
      <c r="L71" s="262"/>
      <c r="M71" s="262" t="s">
        <v>12</v>
      </c>
      <c r="N71" s="262" t="s">
        <v>24</v>
      </c>
      <c r="O71" s="262" t="s">
        <v>12</v>
      </c>
      <c r="P71" s="343"/>
      <c r="Q71" s="343"/>
      <c r="R71" s="262" t="s">
        <v>24</v>
      </c>
    </row>
    <row r="72">
      <c r="A72" s="32"/>
      <c r="B72" s="37"/>
      <c r="C72" s="124" t="s">
        <v>567</v>
      </c>
      <c r="D72" s="10"/>
      <c r="E72" s="10"/>
      <c r="F72" s="17"/>
      <c r="G72" s="262"/>
      <c r="H72" s="262"/>
      <c r="I72" s="262" t="s">
        <v>24</v>
      </c>
      <c r="J72" s="262" t="s">
        <v>24</v>
      </c>
      <c r="K72" s="262"/>
      <c r="L72" s="262"/>
      <c r="M72" s="262" t="s">
        <v>12</v>
      </c>
      <c r="N72" s="262" t="s">
        <v>24</v>
      </c>
      <c r="O72" s="262" t="s">
        <v>12</v>
      </c>
      <c r="P72" s="343"/>
      <c r="Q72" s="343"/>
      <c r="R72" s="262" t="s">
        <v>24</v>
      </c>
    </row>
    <row r="73">
      <c r="A73" s="32"/>
      <c r="B73" s="115" t="s">
        <v>217</v>
      </c>
      <c r="C73" s="124" t="s">
        <v>218</v>
      </c>
      <c r="D73" s="10"/>
      <c r="E73" s="10"/>
      <c r="F73" s="17"/>
      <c r="G73" s="262"/>
      <c r="H73" s="262"/>
      <c r="I73" s="262" t="s">
        <v>24</v>
      </c>
      <c r="J73" s="262" t="s">
        <v>24</v>
      </c>
      <c r="K73" s="262"/>
      <c r="L73" s="262"/>
      <c r="M73" s="262" t="s">
        <v>12</v>
      </c>
      <c r="N73" s="262" t="s">
        <v>24</v>
      </c>
      <c r="O73" s="262" t="s">
        <v>12</v>
      </c>
      <c r="P73" s="343"/>
      <c r="Q73" s="343"/>
      <c r="R73" s="262" t="s">
        <v>24</v>
      </c>
    </row>
    <row r="74">
      <c r="A74" s="32"/>
      <c r="B74" s="32"/>
      <c r="C74" s="124" t="s">
        <v>220</v>
      </c>
      <c r="D74" s="10"/>
      <c r="E74" s="10"/>
      <c r="F74" s="17"/>
      <c r="G74" s="262"/>
      <c r="H74" s="262"/>
      <c r="I74" s="262" t="s">
        <v>24</v>
      </c>
      <c r="J74" s="262" t="s">
        <v>24</v>
      </c>
      <c r="K74" s="262"/>
      <c r="L74" s="262"/>
      <c r="M74" s="262" t="s">
        <v>12</v>
      </c>
      <c r="N74" s="262" t="s">
        <v>24</v>
      </c>
      <c r="O74" s="262" t="s">
        <v>12</v>
      </c>
      <c r="P74" s="343"/>
      <c r="Q74" s="343"/>
      <c r="R74" s="262" t="s">
        <v>24</v>
      </c>
    </row>
    <row r="75">
      <c r="A75" s="32"/>
      <c r="B75" s="32"/>
      <c r="C75" s="129" t="s">
        <v>474</v>
      </c>
      <c r="D75" s="10"/>
      <c r="E75" s="10"/>
      <c r="F75" s="213" t="s">
        <v>222</v>
      </c>
      <c r="G75" s="262"/>
      <c r="H75" s="262"/>
      <c r="I75" s="262" t="s">
        <v>24</v>
      </c>
      <c r="J75" s="262" t="s">
        <v>517</v>
      </c>
      <c r="K75" s="262"/>
      <c r="L75" s="262"/>
      <c r="M75" s="262"/>
      <c r="N75" s="262"/>
      <c r="O75" s="262"/>
      <c r="P75" s="343"/>
      <c r="Q75" s="343"/>
      <c r="R75" s="262"/>
    </row>
    <row r="76">
      <c r="A76" s="32"/>
      <c r="B76" s="37"/>
      <c r="C76" s="124" t="s">
        <v>223</v>
      </c>
      <c r="D76" s="10"/>
      <c r="E76" s="10"/>
      <c r="F76" s="213" t="s">
        <v>224</v>
      </c>
      <c r="G76" s="262"/>
      <c r="H76" s="262"/>
      <c r="I76" s="262" t="s">
        <v>24</v>
      </c>
      <c r="J76" s="262" t="s">
        <v>24</v>
      </c>
      <c r="K76" s="262"/>
      <c r="L76" s="262"/>
      <c r="M76" s="262" t="s">
        <v>12</v>
      </c>
      <c r="N76" s="262" t="s">
        <v>24</v>
      </c>
      <c r="O76" s="262" t="s">
        <v>12</v>
      </c>
      <c r="P76" s="343"/>
      <c r="Q76" s="343"/>
      <c r="R76" s="262" t="s">
        <v>24</v>
      </c>
    </row>
    <row r="77">
      <c r="A77" s="32"/>
      <c r="B77" s="102" t="s">
        <v>244</v>
      </c>
      <c r="C77" s="106" t="s">
        <v>245</v>
      </c>
      <c r="D77" s="10"/>
      <c r="E77" s="245" t="s">
        <v>248</v>
      </c>
      <c r="F77" s="237" t="s">
        <v>411</v>
      </c>
      <c r="G77" s="262"/>
      <c r="H77" s="274"/>
      <c r="I77" s="284" t="s">
        <v>250</v>
      </c>
      <c r="J77" s="262" t="s">
        <v>24</v>
      </c>
      <c r="K77" s="274"/>
      <c r="L77" s="262"/>
      <c r="M77" s="262" t="s">
        <v>12</v>
      </c>
      <c r="N77" s="284" t="s">
        <v>632</v>
      </c>
      <c r="O77" s="262" t="s">
        <v>12</v>
      </c>
      <c r="P77" s="343"/>
      <c r="Q77" s="343"/>
      <c r="R77" s="284" t="s">
        <v>632</v>
      </c>
    </row>
    <row r="78">
      <c r="A78" s="32"/>
      <c r="B78" s="32"/>
      <c r="C78" s="123" t="s">
        <v>247</v>
      </c>
      <c r="D78" s="10"/>
      <c r="E78" s="245" t="s">
        <v>248</v>
      </c>
      <c r="F78" s="213" t="s">
        <v>207</v>
      </c>
      <c r="G78" s="262"/>
      <c r="H78" s="343"/>
      <c r="I78" s="262" t="s">
        <v>24</v>
      </c>
      <c r="J78" s="262" t="s">
        <v>24</v>
      </c>
      <c r="K78" s="343"/>
      <c r="L78" s="262"/>
      <c r="M78" s="262" t="s">
        <v>12</v>
      </c>
      <c r="N78" s="343"/>
      <c r="O78" s="262" t="s">
        <v>12</v>
      </c>
      <c r="P78" s="343"/>
      <c r="Q78" s="343"/>
      <c r="R78" s="262" t="s">
        <v>24</v>
      </c>
    </row>
    <row r="79">
      <c r="A79" s="32"/>
      <c r="B79" s="32"/>
      <c r="C79" s="123" t="s">
        <v>249</v>
      </c>
      <c r="D79" s="10"/>
      <c r="E79" s="10"/>
      <c r="F79" s="213" t="s">
        <v>250</v>
      </c>
      <c r="G79" s="274"/>
      <c r="H79" s="262"/>
      <c r="I79" s="262" t="s">
        <v>24</v>
      </c>
      <c r="J79" s="284" t="s">
        <v>633</v>
      </c>
      <c r="K79" s="262"/>
      <c r="L79" s="262"/>
      <c r="M79" s="262" t="s">
        <v>12</v>
      </c>
      <c r="N79" s="262" t="s">
        <v>24</v>
      </c>
      <c r="O79" s="262" t="s">
        <v>12</v>
      </c>
      <c r="P79" s="343"/>
      <c r="Q79" s="343"/>
      <c r="R79" s="262" t="s">
        <v>24</v>
      </c>
    </row>
    <row r="80">
      <c r="A80" s="32"/>
      <c r="B80" s="32"/>
      <c r="C80" s="103" t="s">
        <v>251</v>
      </c>
      <c r="D80" s="10"/>
      <c r="E80" s="10"/>
      <c r="F80" s="213" t="s">
        <v>252</v>
      </c>
      <c r="G80" s="262"/>
      <c r="H80" s="262"/>
      <c r="I80" s="262" t="s">
        <v>24</v>
      </c>
      <c r="J80" s="262" t="s">
        <v>24</v>
      </c>
      <c r="K80" s="262"/>
      <c r="L80" s="262"/>
      <c r="M80" s="262" t="s">
        <v>12</v>
      </c>
      <c r="N80" s="262" t="s">
        <v>24</v>
      </c>
      <c r="O80" s="262" t="s">
        <v>12</v>
      </c>
      <c r="P80" s="343"/>
      <c r="Q80" s="343"/>
      <c r="R80" s="262" t="s">
        <v>24</v>
      </c>
    </row>
    <row r="81">
      <c r="A81" s="32"/>
      <c r="B81" s="32"/>
      <c r="C81" s="93" t="s">
        <v>568</v>
      </c>
      <c r="D81" s="10"/>
      <c r="E81" s="10"/>
      <c r="F81" s="213" t="s">
        <v>254</v>
      </c>
      <c r="G81" s="274"/>
      <c r="H81" s="343"/>
      <c r="I81" s="284" t="s">
        <v>634</v>
      </c>
      <c r="J81" s="284" t="s">
        <v>634</v>
      </c>
      <c r="K81" s="343"/>
      <c r="L81" s="262"/>
      <c r="M81" s="262" t="s">
        <v>12</v>
      </c>
      <c r="N81" s="343"/>
      <c r="O81" s="262" t="s">
        <v>12</v>
      </c>
      <c r="P81" s="343"/>
      <c r="Q81" s="343"/>
      <c r="R81" s="262" t="s">
        <v>24</v>
      </c>
    </row>
    <row r="82">
      <c r="A82" s="32"/>
      <c r="B82" s="32"/>
      <c r="C82" s="106" t="s">
        <v>255</v>
      </c>
      <c r="D82" s="10"/>
      <c r="E82" s="10"/>
      <c r="F82" s="213" t="s">
        <v>256</v>
      </c>
      <c r="G82" s="274"/>
      <c r="H82" s="262"/>
      <c r="I82" s="262" t="s">
        <v>24</v>
      </c>
      <c r="J82" s="284" t="s">
        <v>635</v>
      </c>
      <c r="K82" s="262"/>
      <c r="L82" s="262"/>
      <c r="M82" s="262" t="s">
        <v>12</v>
      </c>
      <c r="N82" s="262" t="s">
        <v>24</v>
      </c>
      <c r="O82" s="262" t="s">
        <v>12</v>
      </c>
      <c r="P82" s="343"/>
      <c r="Q82" s="343"/>
      <c r="R82" s="284" t="s">
        <v>256</v>
      </c>
    </row>
    <row r="83">
      <c r="A83" s="32"/>
      <c r="B83" s="32"/>
      <c r="C83" s="93" t="s">
        <v>257</v>
      </c>
      <c r="D83" s="10"/>
      <c r="E83" s="10"/>
      <c r="F83" s="17"/>
      <c r="G83" s="262"/>
      <c r="H83" s="262"/>
      <c r="I83" s="262" t="s">
        <v>24</v>
      </c>
      <c r="J83" s="262" t="s">
        <v>24</v>
      </c>
      <c r="K83" s="262"/>
      <c r="L83" s="262"/>
      <c r="M83" s="262" t="s">
        <v>12</v>
      </c>
      <c r="N83" s="262" t="s">
        <v>24</v>
      </c>
      <c r="O83" s="262" t="s">
        <v>12</v>
      </c>
      <c r="P83" s="343"/>
      <c r="Q83" s="343"/>
      <c r="R83" s="262" t="s">
        <v>24</v>
      </c>
    </row>
    <row r="84">
      <c r="A84" s="32"/>
      <c r="B84" s="32"/>
      <c r="C84" s="93" t="s">
        <v>258</v>
      </c>
      <c r="D84" s="10"/>
      <c r="E84" s="10"/>
      <c r="F84" s="213" t="s">
        <v>259</v>
      </c>
      <c r="G84" s="274"/>
      <c r="H84" s="262"/>
      <c r="I84" s="284" t="s">
        <v>597</v>
      </c>
      <c r="J84" s="284" t="s">
        <v>597</v>
      </c>
      <c r="K84" s="262"/>
      <c r="L84" s="262"/>
      <c r="M84" s="262" t="s">
        <v>12</v>
      </c>
      <c r="N84" s="262" t="s">
        <v>24</v>
      </c>
      <c r="O84" s="262" t="s">
        <v>12</v>
      </c>
      <c r="P84" s="343"/>
      <c r="Q84" s="343"/>
      <c r="R84" s="262" t="s">
        <v>24</v>
      </c>
    </row>
    <row r="85">
      <c r="A85" s="37"/>
      <c r="B85" s="37"/>
      <c r="C85" s="103" t="s">
        <v>521</v>
      </c>
      <c r="D85" s="10"/>
      <c r="E85" s="10"/>
      <c r="F85" s="17"/>
      <c r="G85" s="262"/>
      <c r="H85" s="262"/>
      <c r="I85" s="262" t="s">
        <v>24</v>
      </c>
      <c r="J85" s="262" t="s">
        <v>24</v>
      </c>
      <c r="K85" s="262"/>
      <c r="L85" s="262"/>
      <c r="M85" s="262" t="s">
        <v>12</v>
      </c>
      <c r="N85" s="262" t="s">
        <v>24</v>
      </c>
      <c r="O85" s="262" t="s">
        <v>12</v>
      </c>
      <c r="P85" s="343"/>
      <c r="Q85" s="343"/>
      <c r="R85" s="262" t="s">
        <v>24</v>
      </c>
    </row>
    <row r="86">
      <c r="A86" s="154"/>
      <c r="B86" s="154"/>
      <c r="C86" s="142" t="s">
        <v>421</v>
      </c>
      <c r="E86" s="245" t="s">
        <v>96</v>
      </c>
      <c r="F86" s="240"/>
      <c r="G86" s="357"/>
      <c r="H86" s="343"/>
      <c r="I86" s="366" t="s">
        <v>24</v>
      </c>
      <c r="J86" s="200"/>
      <c r="K86" s="21"/>
      <c r="L86" s="21"/>
      <c r="M86" s="200"/>
      <c r="N86" s="21"/>
      <c r="O86" s="21"/>
      <c r="P86" s="200"/>
      <c r="Q86" s="21"/>
      <c r="R86" s="21"/>
    </row>
    <row r="87">
      <c r="A87" s="154"/>
      <c r="B87" s="154"/>
      <c r="C87" s="142" t="s">
        <v>265</v>
      </c>
      <c r="D87" s="10"/>
      <c r="E87" s="256" t="s">
        <v>540</v>
      </c>
      <c r="F87" s="240"/>
      <c r="G87" s="357"/>
      <c r="H87" s="343"/>
      <c r="I87" s="366" t="s">
        <v>24</v>
      </c>
      <c r="J87" s="200"/>
      <c r="K87" s="21"/>
      <c r="L87" s="21"/>
      <c r="M87" s="200"/>
      <c r="N87" s="21"/>
      <c r="O87" s="21"/>
      <c r="P87" s="200"/>
      <c r="Q87" s="21"/>
      <c r="R87" s="21"/>
    </row>
    <row r="88">
      <c r="A88" s="154"/>
      <c r="B88" s="154">
        <v>88.0</v>
      </c>
      <c r="C88" s="154" t="s">
        <v>636</v>
      </c>
      <c r="D88" s="154"/>
      <c r="E88" s="154"/>
      <c r="F88" s="142" t="s">
        <v>276</v>
      </c>
      <c r="G88" s="200">
        <v>0.0</v>
      </c>
      <c r="H88" s="21">
        <v>0.0</v>
      </c>
      <c r="I88" s="21">
        <v>96.0</v>
      </c>
      <c r="J88" s="200">
        <v>95.0</v>
      </c>
      <c r="K88" s="21">
        <v>0.0</v>
      </c>
      <c r="L88" s="21">
        <v>0.0</v>
      </c>
      <c r="M88" s="200">
        <v>95.0</v>
      </c>
      <c r="N88" s="21">
        <v>90.0</v>
      </c>
      <c r="O88" s="21">
        <v>95.0</v>
      </c>
      <c r="P88" s="200">
        <v>4.0</v>
      </c>
      <c r="Q88" s="21">
        <v>0.0</v>
      </c>
      <c r="R88" s="21">
        <v>91.0</v>
      </c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79" t="s">
        <v>637</v>
      </c>
      <c r="B93" s="152"/>
      <c r="C93" s="152"/>
      <c r="D93" s="153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54"/>
      <c r="B94" s="155" t="s">
        <v>5</v>
      </c>
      <c r="C94" s="155" t="s">
        <v>277</v>
      </c>
      <c r="D94" s="155" t="s">
        <v>7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55" t="s">
        <v>278</v>
      </c>
      <c r="B95" s="154">
        <v>0.0</v>
      </c>
      <c r="C95" s="154">
        <v>0.0</v>
      </c>
      <c r="D95" s="154">
        <v>60.0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55" t="s">
        <v>279</v>
      </c>
      <c r="B96" s="154">
        <v>0.0</v>
      </c>
      <c r="C96" s="154">
        <v>0.0</v>
      </c>
      <c r="D96" s="154">
        <v>17.0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55" t="s">
        <v>280</v>
      </c>
      <c r="B97" s="154">
        <v>0.0</v>
      </c>
      <c r="C97" s="154">
        <v>0.0</v>
      </c>
      <c r="D97" s="154">
        <v>0.0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55" t="s">
        <v>281</v>
      </c>
      <c r="B98" s="154">
        <v>0.0</v>
      </c>
      <c r="C98" s="154">
        <v>0.0</v>
      </c>
      <c r="D98" s="154">
        <v>0.0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367" t="s">
        <v>282</v>
      </c>
      <c r="B101" s="152"/>
      <c r="C101" s="152"/>
      <c r="D101" s="152"/>
      <c r="E101" s="153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55" t="s">
        <v>8</v>
      </c>
      <c r="B102" s="154"/>
      <c r="C102" s="154"/>
      <c r="D102" s="154"/>
      <c r="E102" s="155" t="s">
        <v>283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368" t="s">
        <v>284</v>
      </c>
      <c r="B103" s="154"/>
      <c r="C103" s="154"/>
      <c r="D103" s="154"/>
      <c r="E103" s="369" t="s">
        <v>24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370" t="s">
        <v>285</v>
      </c>
      <c r="B104" s="154"/>
      <c r="C104" s="154"/>
      <c r="D104" s="154"/>
      <c r="E104" s="371" t="s">
        <v>12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372" t="s">
        <v>543</v>
      </c>
      <c r="B105" s="154"/>
      <c r="C105" s="154"/>
      <c r="D105" s="154"/>
      <c r="E105" s="373" t="s">
        <v>287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374" t="s">
        <v>286</v>
      </c>
      <c r="B106" s="154"/>
      <c r="C106" s="154"/>
      <c r="D106" s="154"/>
      <c r="E106" s="375" t="s">
        <v>10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376" t="s">
        <v>544</v>
      </c>
      <c r="B107" s="154"/>
      <c r="C107" s="154"/>
      <c r="D107" s="154"/>
      <c r="E107" s="377" t="s">
        <v>290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378" t="s">
        <v>291</v>
      </c>
      <c r="B108" s="154"/>
      <c r="C108" s="154"/>
      <c r="D108" s="154"/>
      <c r="E108" s="379" t="s">
        <v>292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380" t="s">
        <v>296</v>
      </c>
      <c r="B109" s="154"/>
      <c r="C109" s="154"/>
      <c r="D109" s="154"/>
      <c r="E109" s="381" t="s">
        <v>294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382" t="s">
        <v>501</v>
      </c>
      <c r="B110" s="154"/>
      <c r="C110" s="154"/>
      <c r="D110" s="154"/>
      <c r="E110" s="383" t="s">
        <v>11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384" t="s">
        <v>297</v>
      </c>
      <c r="B111" s="154"/>
      <c r="C111" s="154"/>
      <c r="D111" s="154"/>
      <c r="E111" s="385" t="s">
        <v>545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386" t="s">
        <v>301</v>
      </c>
      <c r="B112" s="154"/>
      <c r="C112" s="154"/>
      <c r="D112" s="154"/>
      <c r="E112" s="154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42" t="s">
        <v>546</v>
      </c>
      <c r="B113" s="154"/>
      <c r="C113" s="154"/>
      <c r="D113" s="154"/>
      <c r="E113" s="154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</sheetData>
  <mergeCells count="17">
    <mergeCell ref="B14:B15"/>
    <mergeCell ref="B16:B30"/>
    <mergeCell ref="B31:B43"/>
    <mergeCell ref="B44:B47"/>
    <mergeCell ref="B48:B66"/>
    <mergeCell ref="B67:B72"/>
    <mergeCell ref="B73:B76"/>
    <mergeCell ref="B77:B85"/>
    <mergeCell ref="A93:D93"/>
    <mergeCell ref="A101:E101"/>
    <mergeCell ref="G1:I1"/>
    <mergeCell ref="J1:L1"/>
    <mergeCell ref="M1:O1"/>
    <mergeCell ref="P1:R1"/>
    <mergeCell ref="A6:A15"/>
    <mergeCell ref="B6:B13"/>
    <mergeCell ref="A16:A85"/>
  </mergeCells>
  <conditionalFormatting sqref="I19:R19">
    <cfRule type="cellIs" dxfId="18" priority="1" stopIfTrue="1" operator="equal">
      <formula>"Not Tested"</formula>
    </cfRule>
  </conditionalFormatting>
  <conditionalFormatting sqref="B3:D3 G4:R4">
    <cfRule type="cellIs" dxfId="14" priority="2" stopIfTrue="1" operator="equal">
      <formula>"Anu"</formula>
    </cfRule>
  </conditionalFormatting>
  <conditionalFormatting sqref="B3:D3 G4:R4">
    <cfRule type="cellIs" dxfId="0" priority="3" stopIfTrue="1" operator="equal">
      <formula>"Amrita"</formula>
    </cfRule>
  </conditionalFormatting>
  <conditionalFormatting sqref="B3:D3 G4:R4">
    <cfRule type="cellIs" dxfId="1" priority="4" stopIfTrue="1" operator="equal">
      <formula>"Gourav"</formula>
    </cfRule>
  </conditionalFormatting>
  <conditionalFormatting sqref="B3:D3 G4:R4">
    <cfRule type="cellIs" dxfId="2" priority="5" stopIfTrue="1" operator="equal">
      <formula>"Hannah"</formula>
    </cfRule>
  </conditionalFormatting>
  <conditionalFormatting sqref="B3:D3 G4:R4">
    <cfRule type="cellIs" dxfId="4" priority="6" stopIfTrue="1" operator="equal">
      <formula>"Nitin"</formula>
    </cfRule>
  </conditionalFormatting>
  <conditionalFormatting sqref="B3:D3 G4:R4">
    <cfRule type="cellIs" dxfId="5" priority="7" stopIfTrue="1" operator="equal">
      <formula>"Ramakrishna"</formula>
    </cfRule>
  </conditionalFormatting>
  <conditionalFormatting sqref="B3:D3 G4:R4">
    <cfRule type="cellIs" dxfId="6" priority="8" stopIfTrue="1" operator="equal">
      <formula>"Sriram"</formula>
    </cfRule>
  </conditionalFormatting>
  <conditionalFormatting sqref="B3:D3 G4:R4">
    <cfRule type="cellIs" dxfId="7" priority="9" stopIfTrue="1" operator="equal">
      <formula>"Saheli"</formula>
    </cfRule>
  </conditionalFormatting>
  <conditionalFormatting sqref="B3:D3 G4:R4">
    <cfRule type="cellIs" dxfId="8" priority="10" stopIfTrue="1" operator="equal">
      <formula>"Kavya"</formula>
    </cfRule>
  </conditionalFormatting>
  <conditionalFormatting sqref="B3:D3 G4:R4">
    <cfRule type="cellIs" dxfId="9" priority="11" stopIfTrue="1" operator="equal">
      <formula>"Vishnu"</formula>
    </cfRule>
  </conditionalFormatting>
  <conditionalFormatting sqref="G6:G85 H6:H45 I6:Q85 R6:R20 R22:R45 F27 F36 H47:H48 R47:R85 H50:H85">
    <cfRule type="cellIs" dxfId="16" priority="12" stopIfTrue="1" operator="equal">
      <formula>"OK"</formula>
    </cfRule>
  </conditionalFormatting>
  <conditionalFormatting sqref="B3:D3 G4:R4 G6:G85 H6:H45 I6:Q85 R6:R18 R20 R22:R45 F27 F36 H47:H48 R47:R85 H50:H85">
    <cfRule type="cellIs" dxfId="18" priority="13" operator="equal">
      <formula>"Not Tested"</formula>
    </cfRule>
  </conditionalFormatting>
  <conditionalFormatting sqref="G6:G85 H6:H45 I6:Q85 R6:R20 R22:R45 F27 F36 H47:H48 R47:R85 H50:H85">
    <cfRule type="cellIs" dxfId="19" priority="14" stopIfTrue="1" operator="equal">
      <formula>"N/A"</formula>
    </cfRule>
  </conditionalFormatting>
  <conditionalFormatting sqref="B2:D2 G3:R3">
    <cfRule type="containsText" dxfId="20" priority="15" stopIfTrue="1" operator="containsText" text="Incomplete">
      <formula>NOT(ISERROR(SEARCH(("Incomplete"),(B2))))</formula>
    </cfRule>
  </conditionalFormatting>
  <conditionalFormatting sqref="B2:D2 G3:R3">
    <cfRule type="containsText" dxfId="17" priority="16" stopIfTrue="1" operator="containsText" text="Broken">
      <formula>NOT(ISERROR(SEARCH(("Broken"),(B2))))</formula>
    </cfRule>
  </conditionalFormatting>
  <conditionalFormatting sqref="B2:D2 G3:R3">
    <cfRule type="containsText" dxfId="21" priority="17" stopIfTrue="1" operator="containsText" text="Some problems">
      <formula>NOT(ISERROR(SEARCH(("Some problems"),(B2))))</formula>
    </cfRule>
  </conditionalFormatting>
  <conditionalFormatting sqref="B2:D2 G3:R3">
    <cfRule type="containsText" dxfId="22" priority="18" stopIfTrue="1" operator="containsText" text="All OK">
      <formula>NOT(ISERROR(SEARCH(("All OK"),(B2))))</formula>
    </cfRule>
  </conditionalFormatting>
  <conditionalFormatting sqref="B2:D2 G3:R3">
    <cfRule type="containsText" dxfId="23" priority="19" stopIfTrue="1" operator="containsText" text="In Progress">
      <formula>NOT(ISERROR(SEARCH(("In Progress"),(B2))))</formula>
    </cfRule>
  </conditionalFormatting>
  <conditionalFormatting sqref="B2:D2 G3:R3">
    <cfRule type="containsText" dxfId="24" priority="20" stopIfTrue="1" operator="containsText" text="Not Tested">
      <formula>NOT(ISERROR(SEARCH(("Not Tested"),(B2))))</formula>
    </cfRule>
  </conditionalFormatting>
  <drawing r:id="rId1"/>
</worksheet>
</file>